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B193DEB-0C84-4B64-88FE-B1A55F958E28}"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sheet" sheetId="3" r:id="rId2"/>
    <sheet name="Pivot Table" sheetId="4" r:id="rId3"/>
    <sheet name="Dashboard" sheetId="5"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<sst xmlns="http://schemas.openxmlformats.org/spreadsheetml/2006/main" count="16274" uniqueCount="51">
  <si>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</si>
  <si>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</si>
  <si>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</si>
  <si>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</si>
  <si>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</si>
  <si>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</si>
  <si>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</si>
  <si>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</si>
  <si>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</si>
  <si>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</si>
  <si>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</si>
  <si>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</si>
  <si>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</si>
  <si>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</si>
  <si>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</si>
  <si>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</si>
  <si>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</si>
  <si>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</si>
  <si>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</si>
  <si>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</si>
  <si>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</si>
  <si>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</si>
  <si>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</si>
  <si>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</si>
  <si>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</si>
  <si>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</si>
  <si>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</si>
  <si>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</si>
  <si>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</si>
  <si>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</si>
  <si>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</si>
  <si>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</si>
  <si>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</si>
  <si>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</si>
  <si>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</si>
  <si>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</si>
  <si>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</si>
  <si>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</si>
  <si>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</si>
  <si>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</si>
  <si>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</si>
  <si>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</si>
  <si>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</si>
  <si>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</si>
  <si>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</si>
  <si>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</si>
  <si>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</si>
  <si>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Adult</t>
  </si>
  <si>
    <t>Elderly</t>
  </si>
  <si>
    <t>Young Adult</t>
  </si>
  <si>
    <t>INTERACTIVE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</si>
</sst>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CDA-4A6F-8EEB-9A3160CC484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CDA-4A6F-8EEB-9A3160CC484D}"/>
            </c:ext>
          </c:extLst>
        </c:ser>
        <c:dLbls>
          <c:showLegendKey val="0"/>
          <c:showVal val="0"/>
          <c:showCatName val="0"/>
          <c:showSerName val="0"/>
          <c:showPercent val="0"/>
          <c:showBubbleSize val="0"/>
        </c:dLbls>
        <c:gapWidth val="219"/>
        <c:overlap val="-27"/>
        <c:axId val="1297000783"/>
        <c:axId val="1297001743"/>
      </c:barChart>
      <c:catAx>
        <c:axId val="129700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1743"/>
        <c:crosses val="autoZero"/>
        <c:auto val="1"/>
        <c:lblAlgn val="ctr"/>
        <c:lblOffset val="100"/>
        <c:noMultiLvlLbl val="0"/>
      </c:catAx>
      <c:valAx>
        <c:axId val="1297001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C7-467C-9AA1-1CCB64325FD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C7-467C-9AA1-1CCB64325FD5}"/>
            </c:ext>
          </c:extLst>
        </c:ser>
        <c:dLbls>
          <c:showLegendKey val="0"/>
          <c:showVal val="0"/>
          <c:showCatName val="0"/>
          <c:showSerName val="0"/>
          <c:showPercent val="0"/>
          <c:showBubbleSize val="0"/>
        </c:dLbls>
        <c:smooth val="0"/>
        <c:axId val="1406172527"/>
        <c:axId val="1406175887"/>
      </c:lineChart>
      <c:catAx>
        <c:axId val="140617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5887"/>
        <c:crosses val="autoZero"/>
        <c:auto val="1"/>
        <c:lblAlgn val="ctr"/>
        <c:lblOffset val="100"/>
        <c:noMultiLvlLbl val="0"/>
      </c:catAx>
      <c:valAx>
        <c:axId val="14061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Adult</c:v>
                </c:pt>
                <c:pt idx="1">
                  <c:v>Elderly</c:v>
                </c:pt>
                <c:pt idx="2">
                  <c:v>Young Adult</c:v>
                </c:pt>
              </c:strCache>
            </c:strRef>
          </c:cat>
          <c:val>
            <c:numRef>
              <c:f>'Pivot Table'!$B$38:$B$41</c:f>
              <c:numCache>
                <c:formatCode>General</c:formatCode>
                <c:ptCount val="3"/>
                <c:pt idx="0">
                  <c:v>308</c:v>
                </c:pt>
                <c:pt idx="1">
                  <c:v>70</c:v>
                </c:pt>
                <c:pt idx="2">
                  <c:v>141</c:v>
                </c:pt>
              </c:numCache>
            </c:numRef>
          </c:val>
          <c:smooth val="0"/>
          <c:extLst>
            <c:ext xmlns:c16="http://schemas.microsoft.com/office/drawing/2014/chart" uri="{C3380CC4-5D6E-409C-BE32-E72D297353CC}">
              <c16:uniqueId val="{00000000-4311-4AF2-8DAE-C4D3DACA36F6}"/>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Adult</c:v>
                </c:pt>
                <c:pt idx="1">
                  <c:v>Elderly</c:v>
                </c:pt>
                <c:pt idx="2">
                  <c:v>Young Adult</c:v>
                </c:pt>
              </c:strCache>
            </c:strRef>
          </c:cat>
          <c:val>
            <c:numRef>
              <c:f>'Pivot Table'!$C$38:$C$41</c:f>
              <c:numCache>
                <c:formatCode>General</c:formatCode>
                <c:ptCount val="3"/>
                <c:pt idx="0">
                  <c:v>336</c:v>
                </c:pt>
                <c:pt idx="1">
                  <c:v>30</c:v>
                </c:pt>
                <c:pt idx="2">
                  <c:v>115</c:v>
                </c:pt>
              </c:numCache>
            </c:numRef>
          </c:val>
          <c:smooth val="0"/>
          <c:extLst>
            <c:ext xmlns:c16="http://schemas.microsoft.com/office/drawing/2014/chart" uri="{C3380CC4-5D6E-409C-BE32-E72D297353CC}">
              <c16:uniqueId val="{00000001-4311-4AF2-8DAE-C4D3DACA36F6}"/>
            </c:ext>
          </c:extLst>
        </c:ser>
        <c:dLbls>
          <c:showLegendKey val="0"/>
          <c:showVal val="0"/>
          <c:showCatName val="0"/>
          <c:showSerName val="0"/>
          <c:showPercent val="0"/>
          <c:showBubbleSize val="0"/>
        </c:dLbls>
        <c:marker val="1"/>
        <c:smooth val="0"/>
        <c:axId val="1296992575"/>
        <c:axId val="1296993055"/>
      </c:lineChart>
      <c:catAx>
        <c:axId val="129699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3055"/>
        <c:crosses val="autoZero"/>
        <c:auto val="1"/>
        <c:lblAlgn val="ctr"/>
        <c:lblOffset val="100"/>
        <c:noMultiLvlLbl val="0"/>
      </c:catAx>
      <c:valAx>
        <c:axId val="129699305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26300917431192661"/>
          <c:y val="0.119614825216911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97861735173013"/>
          <c:y val="0.36222629018506447"/>
          <c:w val="0.49044340099689376"/>
          <c:h val="0.4073097948743668"/>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794-42A0-A07F-9B95D0BC5B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794-42A0-A07F-9B95D0BC5BED}"/>
            </c:ext>
          </c:extLst>
        </c:ser>
        <c:dLbls>
          <c:showLegendKey val="0"/>
          <c:showVal val="0"/>
          <c:showCatName val="0"/>
          <c:showSerName val="0"/>
          <c:showPercent val="0"/>
          <c:showBubbleSize val="0"/>
        </c:dLbls>
        <c:gapWidth val="219"/>
        <c:overlap val="-27"/>
        <c:axId val="1297000783"/>
        <c:axId val="1297001743"/>
      </c:barChart>
      <c:catAx>
        <c:axId val="1297000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1743"/>
        <c:crosses val="autoZero"/>
        <c:auto val="1"/>
        <c:lblAlgn val="ctr"/>
        <c:lblOffset val="100"/>
        <c:noMultiLvlLbl val="0"/>
      </c:catAx>
      <c:valAx>
        <c:axId val="1297001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84243029223996"/>
          <c:y val="4.1161521476482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81331803723213E-2"/>
          <c:y val="0.14745781777277839"/>
          <c:w val="0.77761753290772428"/>
          <c:h val="0.61347956505436818"/>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FB0-4A3C-9C55-3416303E88FA}"/>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FB0-4A3C-9C55-3416303E88FA}"/>
            </c:ext>
          </c:extLst>
        </c:ser>
        <c:dLbls>
          <c:showLegendKey val="0"/>
          <c:showVal val="0"/>
          <c:showCatName val="0"/>
          <c:showSerName val="0"/>
          <c:showPercent val="0"/>
          <c:showBubbleSize val="0"/>
        </c:dLbls>
        <c:smooth val="0"/>
        <c:axId val="1406172527"/>
        <c:axId val="1406175887"/>
      </c:lineChart>
      <c:catAx>
        <c:axId val="1406172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6390646533421733"/>
              <c:y val="0.846642503020455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5887"/>
        <c:crosses val="autoZero"/>
        <c:auto val="1"/>
        <c:lblAlgn val="ctr"/>
        <c:lblOffset val="100"/>
        <c:noMultiLvlLbl val="0"/>
      </c:catAx>
      <c:valAx>
        <c:axId val="140617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7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2069890448476549"/>
          <c:y val="0.131515997209209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266689489901"/>
          <c:y val="0.25233878201933618"/>
          <c:w val="0.51176446422458066"/>
          <c:h val="0.39849745838732181"/>
        </c:manualLayout>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Adult</c:v>
                </c:pt>
                <c:pt idx="1">
                  <c:v>Elderly</c:v>
                </c:pt>
                <c:pt idx="2">
                  <c:v>Young Adult</c:v>
                </c:pt>
              </c:strCache>
            </c:strRef>
          </c:cat>
          <c:val>
            <c:numRef>
              <c:f>'Pivot Table'!$B$38:$B$41</c:f>
              <c:numCache>
                <c:formatCode>General</c:formatCode>
                <c:ptCount val="3"/>
                <c:pt idx="0">
                  <c:v>308</c:v>
                </c:pt>
                <c:pt idx="1">
                  <c:v>70</c:v>
                </c:pt>
                <c:pt idx="2">
                  <c:v>141</c:v>
                </c:pt>
              </c:numCache>
            </c:numRef>
          </c:val>
          <c:smooth val="0"/>
          <c:extLst>
            <c:ext xmlns:c16="http://schemas.microsoft.com/office/drawing/2014/chart" uri="{C3380CC4-5D6E-409C-BE32-E72D297353CC}">
              <c16:uniqueId val="{00000000-C355-497A-ACA7-D4180AC96CCD}"/>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Adult</c:v>
                </c:pt>
                <c:pt idx="1">
                  <c:v>Elderly</c:v>
                </c:pt>
                <c:pt idx="2">
                  <c:v>Young Adult</c:v>
                </c:pt>
              </c:strCache>
            </c:strRef>
          </c:cat>
          <c:val>
            <c:numRef>
              <c:f>'Pivot Table'!$C$38:$C$41</c:f>
              <c:numCache>
                <c:formatCode>General</c:formatCode>
                <c:ptCount val="3"/>
                <c:pt idx="0">
                  <c:v>336</c:v>
                </c:pt>
                <c:pt idx="1">
                  <c:v>30</c:v>
                </c:pt>
                <c:pt idx="2">
                  <c:v>115</c:v>
                </c:pt>
              </c:numCache>
            </c:numRef>
          </c:val>
          <c:smooth val="0"/>
          <c:extLst>
            <c:ext xmlns:c16="http://schemas.microsoft.com/office/drawing/2014/chart" uri="{C3380CC4-5D6E-409C-BE32-E72D297353CC}">
              <c16:uniqueId val="{00000001-C355-497A-ACA7-D4180AC96CCD}"/>
            </c:ext>
          </c:extLst>
        </c:ser>
        <c:dLbls>
          <c:showLegendKey val="0"/>
          <c:showVal val="0"/>
          <c:showCatName val="0"/>
          <c:showSerName val="0"/>
          <c:showPercent val="0"/>
          <c:showBubbleSize val="0"/>
        </c:dLbls>
        <c:marker val="1"/>
        <c:smooth val="0"/>
        <c:axId val="1296992575"/>
        <c:axId val="1296993055"/>
      </c:lineChart>
      <c:catAx>
        <c:axId val="129699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2657411845258472"/>
              <c:y val="0.835540715638393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3055"/>
        <c:crosses val="autoZero"/>
        <c:auto val="1"/>
        <c:lblAlgn val="ctr"/>
        <c:lblOffset val="100"/>
        <c:noMultiLvlLbl val="0"/>
      </c:catAx>
      <c:valAx>
        <c:axId val="1296993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9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12700</xdr:rowOff>
    </xdr:from>
    <xdr:to>
      <xdr:col>12</xdr:col>
      <xdr:colOff>317500</xdr:colOff>
      <xdr:row>14</xdr:row>
      <xdr:rowOff>177800</xdr:rowOff>
    </xdr:to>
    <xdr:graphicFrame macro="">
      <xdr:nvGraphicFramePr>
        <xdr:cNvPr id="2" name="Chart 1">
          <a:extLst>
            <a:ext uri="{FF2B5EF4-FFF2-40B4-BE49-F238E27FC236}">
              <a16:creationId xmlns:a16="http://schemas.microsoft.com/office/drawing/2014/main" id="{2B6A2545-FDC4-8FB3-14B2-DE966EA39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18</xdr:row>
      <xdr:rowOff>6350</xdr:rowOff>
    </xdr:from>
    <xdr:to>
      <xdr:col>12</xdr:col>
      <xdr:colOff>314325</xdr:colOff>
      <xdr:row>32</xdr:row>
      <xdr:rowOff>171450</xdr:rowOff>
    </xdr:to>
    <xdr:graphicFrame macro="">
      <xdr:nvGraphicFramePr>
        <xdr:cNvPr id="3" name="Chart 2">
          <a:extLst>
            <a:ext uri="{FF2B5EF4-FFF2-40B4-BE49-F238E27FC236}">
              <a16:creationId xmlns:a16="http://schemas.microsoft.com/office/drawing/2014/main" id="{915E0B31-C7A9-8917-7477-544DFBF4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xdr:colOff>
      <xdr:row>35</xdr:row>
      <xdr:rowOff>0</xdr:rowOff>
    </xdr:from>
    <xdr:to>
      <xdr:col>12</xdr:col>
      <xdr:colOff>307975</xdr:colOff>
      <xdr:row>49</xdr:row>
      <xdr:rowOff>165100</xdr:rowOff>
    </xdr:to>
    <xdr:graphicFrame macro="">
      <xdr:nvGraphicFramePr>
        <xdr:cNvPr id="4" name="Chart 3">
          <a:extLst>
            <a:ext uri="{FF2B5EF4-FFF2-40B4-BE49-F238E27FC236}">
              <a16:creationId xmlns:a16="http://schemas.microsoft.com/office/drawing/2014/main" id="{069EFD1B-E33B-09D8-DF92-78D6E9417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228600</xdr:colOff>
      <xdr:row>5</xdr:row>
      <xdr:rowOff>19050</xdr:rowOff>
    </xdr:from>
    <xdr:to>
      <xdr:col>11</xdr:col>
      <xdr:colOff>31750</xdr:colOff>
      <xdr:row>16</xdr:row>
      <xdr:rowOff>19050</xdr:rowOff>
    </xdr:to>
    <xdr:graphicFrame macro="">
      <xdr:nvGraphicFramePr>
        <xdr:cNvPr id="2" name="Chart 1">
          <a:extLst>
            <a:ext uri="{FF2B5EF4-FFF2-40B4-BE49-F238E27FC236}">
              <a16:creationId xmlns:a16="http://schemas.microsoft.com/office/drawing/2014/main" id="{F2E18789-DEAE-4A53-B044-4A2FA1917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16</xdr:row>
      <xdr:rowOff>25400</xdr:rowOff>
    </xdr:from>
    <xdr:to>
      <xdr:col>11</xdr:col>
      <xdr:colOff>31750</xdr:colOff>
      <xdr:row>26</xdr:row>
      <xdr:rowOff>114300</xdr:rowOff>
    </xdr:to>
    <xdr:graphicFrame macro="">
      <xdr:nvGraphicFramePr>
        <xdr:cNvPr id="3" name="Chart 2">
          <a:extLst>
            <a:ext uri="{FF2B5EF4-FFF2-40B4-BE49-F238E27FC236}">
              <a16:creationId xmlns:a16="http://schemas.microsoft.com/office/drawing/2014/main" id="{D51A70FA-89C9-4684-9071-C99CD6CDD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19050</xdr:rowOff>
    </xdr:from>
    <xdr:to>
      <xdr:col>5</xdr:col>
      <xdr:colOff>215900</xdr:colOff>
      <xdr:row>16</xdr:row>
      <xdr:rowOff>19050</xdr:rowOff>
    </xdr:to>
    <xdr:graphicFrame macro="">
      <xdr:nvGraphicFramePr>
        <xdr:cNvPr id="4" name="Chart 3">
          <a:extLst>
            <a:ext uri="{FF2B5EF4-FFF2-40B4-BE49-F238E27FC236}">
              <a16:creationId xmlns:a16="http://schemas.microsoft.com/office/drawing/2014/main" id="{FB926743-569C-47C7-BFF9-3AC8F5875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44450</xdr:colOff>
      <xdr:row>4</xdr:row>
      <xdr:rowOff>177801</xdr:rowOff>
    </xdr:from>
    <xdr:to>
      <xdr:col>14</xdr:col>
      <xdr:colOff>44450</xdr:colOff>
      <xdr:row>10</xdr:row>
      <xdr:rowOff>76201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48E5363-7914-9338-8BA4-571270E2B3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750050" y="914401"/>
              <a:ext cx="1828800" cy="100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31750</xdr:colOff>
      <xdr:row>17</xdr:row>
      <xdr:rowOff>19051</xdr:rowOff>
    </xdr:from>
    <xdr:to>
      <xdr:col>14</xdr:col>
      <xdr:colOff>31750</xdr:colOff>
      <xdr:row>26</xdr:row>
      <xdr:rowOff>101601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354A43D-0CE9-F987-D776-BF3A938118C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737350" y="3149601"/>
              <a:ext cx="1828800"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10</xdr:row>
      <xdr:rowOff>88900</xdr:rowOff>
    </xdr:from>
    <xdr:to>
      <xdr:col>14</xdr:col>
      <xdr:colOff>38100</xdr:colOff>
      <xdr:row>17</xdr:row>
      <xdr:rowOff>12699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805D37F-A9A5-0EDE-CAC4-55A8E15092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43700" y="1930400"/>
              <a:ext cx="1828800" cy="1212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592.305510763887" createdVersion="8" refreshedVersion="8" minRefreshableVersion="3" recordCount="1000" xr:uid="{63238131-F723-4A56-A626-4CBDF51993A2}">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2-5 Miles"/>
        <s v="5-10 Miles"/>
        <s v="1-2 Miles"/>
        <s v="More than 10 Miles"/>
        <s v="&gt; 10 Miles" u="1"/>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Adult"/>
        <s v="Young Adult"/>
        <s v="Elderly"/>
      </sharedItems>
    </cacheField>
    <cacheField name="Purchased Bike" numFmtId="0">
      <sharedItems count="2">
        <s v="No"/>
        <s v="Yes"/>
      </sharedItems>
    </cacheField>
  </cacheFields>
  <extLst>
    <ext xmlns:x14="http://schemas.microsoft.com/office/spreadsheetml/2009/9/main" uri="{725AE2AE-9491-48be-B2B4-4EB974FC3084}">
      <x14:pivotCacheDefinition pivotCacheId="2004729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1"/>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1"/>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1"/>
    <x v="1"/>
  </r>
  <r>
    <n v="26412"/>
    <x v="0"/>
    <x v="0"/>
    <n v="80000"/>
    <n v="5"/>
    <x v="2"/>
    <s v="Management"/>
    <s v="No"/>
    <n v="3"/>
    <x v="2"/>
    <x v="0"/>
    <x v="16"/>
    <x v="0"/>
    <x v="0"/>
  </r>
  <r>
    <n v="27184"/>
    <x v="1"/>
    <x v="1"/>
    <n v="40000"/>
    <n v="2"/>
    <x v="1"/>
    <s v="Clerical"/>
    <s v="No"/>
    <n v="1"/>
    <x v="0"/>
    <x v="0"/>
    <x v="17"/>
    <x v="1"/>
    <x v="0"/>
  </r>
  <r>
    <n v="12590"/>
    <x v="1"/>
    <x v="1"/>
    <n v="30000"/>
    <n v="1"/>
    <x v="0"/>
    <s v="Clerical"/>
    <s v="Yes"/>
    <n v="0"/>
    <x v="0"/>
    <x v="0"/>
    <x v="18"/>
    <x v="2"/>
    <x v="0"/>
  </r>
  <r>
    <n v="17841"/>
    <x v="1"/>
    <x v="1"/>
    <n v="30000"/>
    <n v="0"/>
    <x v="1"/>
    <s v="Clerical"/>
    <s v="No"/>
    <n v="1"/>
    <x v="0"/>
    <x v="0"/>
    <x v="19"/>
    <x v="1"/>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1"/>
    <x v="1"/>
  </r>
  <r>
    <n v="19273"/>
    <x v="0"/>
    <x v="0"/>
    <n v="20000"/>
    <n v="2"/>
    <x v="1"/>
    <s v="Manual"/>
    <s v="Yes"/>
    <n v="0"/>
    <x v="0"/>
    <x v="0"/>
    <x v="18"/>
    <x v="2"/>
    <x v="0"/>
  </r>
  <r>
    <n v="22400"/>
    <x v="0"/>
    <x v="1"/>
    <n v="10000"/>
    <n v="0"/>
    <x v="1"/>
    <s v="Manual"/>
    <s v="No"/>
    <n v="1"/>
    <x v="0"/>
    <x v="1"/>
    <x v="22"/>
    <x v="1"/>
    <x v="1"/>
  </r>
  <r>
    <n v="20942"/>
    <x v="1"/>
    <x v="0"/>
    <n v="20000"/>
    <n v="0"/>
    <x v="2"/>
    <s v="Manual"/>
    <s v="No"/>
    <n v="1"/>
    <x v="2"/>
    <x v="0"/>
    <x v="23"/>
    <x v="1"/>
    <x v="0"/>
  </r>
  <r>
    <n v="18484"/>
    <x v="1"/>
    <x v="1"/>
    <n v="80000"/>
    <n v="2"/>
    <x v="2"/>
    <s v="Skilled Manual"/>
    <s v="No"/>
    <n v="2"/>
    <x v="3"/>
    <x v="1"/>
    <x v="5"/>
    <x v="0"/>
    <x v="1"/>
  </r>
  <r>
    <n v="12291"/>
    <x v="1"/>
    <x v="1"/>
    <n v="90000"/>
    <n v="5"/>
    <x v="1"/>
    <s v="Professional"/>
    <s v="No"/>
    <n v="2"/>
    <x v="1"/>
    <x v="0"/>
    <x v="24"/>
    <x v="2"/>
    <x v="1"/>
  </r>
  <r>
    <n v="28380"/>
    <x v="1"/>
    <x v="0"/>
    <n v="10000"/>
    <n v="5"/>
    <x v="3"/>
    <s v="Manual"/>
    <s v="No"/>
    <n v="2"/>
    <x v="0"/>
    <x v="0"/>
    <x v="3"/>
    <x v="0"/>
    <x v="0"/>
  </r>
  <r>
    <n v="17891"/>
    <x v="0"/>
    <x v="0"/>
    <n v="10000"/>
    <n v="2"/>
    <x v="1"/>
    <s v="Manual"/>
    <s v="Yes"/>
    <n v="1"/>
    <x v="0"/>
    <x v="0"/>
    <x v="5"/>
    <x v="0"/>
    <x v="1"/>
  </r>
  <r>
    <n v="27832"/>
    <x v="1"/>
    <x v="0"/>
    <n v="30000"/>
    <n v="0"/>
    <x v="1"/>
    <s v="Clerical"/>
    <s v="No"/>
    <n v="1"/>
    <x v="1"/>
    <x v="0"/>
    <x v="25"/>
    <x v="1"/>
    <x v="0"/>
  </r>
  <r>
    <n v="26863"/>
    <x v="1"/>
    <x v="1"/>
    <n v="20000"/>
    <n v="0"/>
    <x v="2"/>
    <s v="Manual"/>
    <s v="No"/>
    <n v="1"/>
    <x v="1"/>
    <x v="0"/>
    <x v="26"/>
    <x v="1"/>
    <x v="0"/>
  </r>
  <r>
    <n v="16259"/>
    <x v="1"/>
    <x v="0"/>
    <n v="10000"/>
    <n v="4"/>
    <x v="3"/>
    <s v="Manual"/>
    <s v="Yes"/>
    <n v="2"/>
    <x v="0"/>
    <x v="0"/>
    <x v="8"/>
    <x v="0"/>
    <x v="1"/>
  </r>
  <r>
    <n v="27803"/>
    <x v="1"/>
    <x v="0"/>
    <n v="30000"/>
    <n v="2"/>
    <x v="1"/>
    <s v="Clerical"/>
    <s v="No"/>
    <n v="0"/>
    <x v="0"/>
    <x v="0"/>
    <x v="1"/>
    <x v="0"/>
    <x v="0"/>
  </r>
  <r>
    <n v="14347"/>
    <x v="1"/>
    <x v="0"/>
    <n v="40000"/>
    <n v="2"/>
    <x v="0"/>
    <s v="Management"/>
    <s v="Yes"/>
    <n v="2"/>
    <x v="2"/>
    <x v="1"/>
    <x v="27"/>
    <x v="2"/>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2"/>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1"/>
    <x v="0"/>
  </r>
  <r>
    <n v="20619"/>
    <x v="1"/>
    <x v="1"/>
    <n v="80000"/>
    <n v="0"/>
    <x v="0"/>
    <s v="Professional"/>
    <s v="No"/>
    <n v="4"/>
    <x v="4"/>
    <x v="1"/>
    <x v="11"/>
    <x v="1"/>
    <x v="0"/>
  </r>
  <r>
    <n v="12558"/>
    <x v="0"/>
    <x v="0"/>
    <n v="20000"/>
    <n v="1"/>
    <x v="0"/>
    <s v="Clerical"/>
    <s v="Yes"/>
    <n v="0"/>
    <x v="0"/>
    <x v="0"/>
    <x v="27"/>
    <x v="2"/>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2"/>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2"/>
    <x v="0"/>
  </r>
  <r>
    <n v="29355"/>
    <x v="0"/>
    <x v="0"/>
    <n v="40000"/>
    <n v="0"/>
    <x v="4"/>
    <s v="Clerical"/>
    <s v="Yes"/>
    <n v="0"/>
    <x v="0"/>
    <x v="0"/>
    <x v="34"/>
    <x v="0"/>
    <x v="1"/>
  </r>
  <r>
    <n v="25303"/>
    <x v="1"/>
    <x v="1"/>
    <n v="30000"/>
    <n v="0"/>
    <x v="2"/>
    <s v="Manual"/>
    <s v="Yes"/>
    <n v="1"/>
    <x v="1"/>
    <x v="0"/>
    <x v="6"/>
    <x v="1"/>
    <x v="1"/>
  </r>
  <r>
    <n v="14813"/>
    <x v="1"/>
    <x v="0"/>
    <n v="20000"/>
    <n v="4"/>
    <x v="2"/>
    <s v="Manual"/>
    <s v="Yes"/>
    <n v="1"/>
    <x v="0"/>
    <x v="0"/>
    <x v="1"/>
    <x v="0"/>
    <x v="1"/>
  </r>
  <r>
    <n v="16438"/>
    <x v="0"/>
    <x v="0"/>
    <n v="10000"/>
    <n v="0"/>
    <x v="3"/>
    <s v="Manual"/>
    <s v="No"/>
    <n v="2"/>
    <x v="0"/>
    <x v="0"/>
    <x v="25"/>
    <x v="1"/>
    <x v="0"/>
  </r>
  <r>
    <n v="14238"/>
    <x v="0"/>
    <x v="1"/>
    <n v="120000"/>
    <n v="0"/>
    <x v="3"/>
    <s v="Professional"/>
    <s v="Yes"/>
    <n v="4"/>
    <x v="4"/>
    <x v="1"/>
    <x v="4"/>
    <x v="0"/>
    <x v="1"/>
  </r>
  <r>
    <n v="16200"/>
    <x v="1"/>
    <x v="0"/>
    <n v="10000"/>
    <n v="0"/>
    <x v="3"/>
    <s v="Manual"/>
    <s v="No"/>
    <n v="2"/>
    <x v="0"/>
    <x v="0"/>
    <x v="11"/>
    <x v="1"/>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2"/>
    <x v="0"/>
  </r>
  <r>
    <n v="12678"/>
    <x v="1"/>
    <x v="0"/>
    <n v="130000"/>
    <n v="4"/>
    <x v="2"/>
    <s v="Management"/>
    <s v="Yes"/>
    <n v="4"/>
    <x v="0"/>
    <x v="1"/>
    <x v="23"/>
    <x v="1"/>
    <x v="0"/>
  </r>
  <r>
    <n v="16188"/>
    <x v="1"/>
    <x v="0"/>
    <n v="20000"/>
    <n v="0"/>
    <x v="3"/>
    <s v="Manual"/>
    <s v="No"/>
    <n v="2"/>
    <x v="3"/>
    <x v="0"/>
    <x v="22"/>
    <x v="1"/>
    <x v="0"/>
  </r>
  <r>
    <n v="27969"/>
    <x v="0"/>
    <x v="1"/>
    <n v="80000"/>
    <n v="0"/>
    <x v="0"/>
    <s v="Professional"/>
    <s v="Yes"/>
    <n v="2"/>
    <x v="4"/>
    <x v="1"/>
    <x v="19"/>
    <x v="1"/>
    <x v="1"/>
  </r>
  <r>
    <n v="15752"/>
    <x v="0"/>
    <x v="1"/>
    <n v="80000"/>
    <n v="2"/>
    <x v="2"/>
    <s v="Skilled Manual"/>
    <s v="No"/>
    <n v="2"/>
    <x v="3"/>
    <x v="1"/>
    <x v="5"/>
    <x v="0"/>
    <x v="1"/>
  </r>
  <r>
    <n v="27745"/>
    <x v="1"/>
    <x v="1"/>
    <n v="40000"/>
    <n v="2"/>
    <x v="0"/>
    <s v="Management"/>
    <s v="Yes"/>
    <n v="2"/>
    <x v="2"/>
    <x v="1"/>
    <x v="18"/>
    <x v="2"/>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1"/>
    <x v="0"/>
  </r>
  <r>
    <n v="24485"/>
    <x v="1"/>
    <x v="1"/>
    <n v="40000"/>
    <n v="2"/>
    <x v="0"/>
    <s v="Management"/>
    <s v="No"/>
    <n v="1"/>
    <x v="2"/>
    <x v="1"/>
    <x v="31"/>
    <x v="0"/>
    <x v="1"/>
  </r>
  <r>
    <n v="16514"/>
    <x v="1"/>
    <x v="1"/>
    <n v="10000"/>
    <n v="0"/>
    <x v="1"/>
    <s v="Manual"/>
    <s v="Yes"/>
    <n v="1"/>
    <x v="3"/>
    <x v="1"/>
    <x v="22"/>
    <x v="1"/>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1"/>
    <x v="0"/>
  </r>
  <r>
    <n v="25458"/>
    <x v="0"/>
    <x v="1"/>
    <n v="20000"/>
    <n v="1"/>
    <x v="2"/>
    <s v="Manual"/>
    <s v="No"/>
    <n v="1"/>
    <x v="3"/>
    <x v="0"/>
    <x v="8"/>
    <x v="0"/>
    <x v="1"/>
  </r>
  <r>
    <n v="26886"/>
    <x v="1"/>
    <x v="0"/>
    <n v="30000"/>
    <n v="0"/>
    <x v="1"/>
    <s v="Clerical"/>
    <s v="No"/>
    <n v="1"/>
    <x v="0"/>
    <x v="0"/>
    <x v="19"/>
    <x v="1"/>
    <x v="1"/>
  </r>
  <r>
    <n v="28436"/>
    <x v="1"/>
    <x v="1"/>
    <n v="30000"/>
    <n v="0"/>
    <x v="1"/>
    <s v="Clerical"/>
    <s v="No"/>
    <n v="1"/>
    <x v="0"/>
    <x v="0"/>
    <x v="25"/>
    <x v="1"/>
    <x v="1"/>
  </r>
  <r>
    <n v="19562"/>
    <x v="1"/>
    <x v="0"/>
    <n v="60000"/>
    <n v="2"/>
    <x v="0"/>
    <s v="Professional"/>
    <s v="Yes"/>
    <n v="1"/>
    <x v="1"/>
    <x v="1"/>
    <x v="34"/>
    <x v="0"/>
    <x v="1"/>
  </r>
  <r>
    <n v="15608"/>
    <x v="1"/>
    <x v="0"/>
    <n v="30000"/>
    <n v="0"/>
    <x v="1"/>
    <s v="Clerical"/>
    <s v="No"/>
    <n v="1"/>
    <x v="1"/>
    <x v="0"/>
    <x v="6"/>
    <x v="1"/>
    <x v="0"/>
  </r>
  <r>
    <n v="16487"/>
    <x v="1"/>
    <x v="0"/>
    <n v="30000"/>
    <n v="3"/>
    <x v="2"/>
    <s v="Skilled Manual"/>
    <s v="Yes"/>
    <n v="2"/>
    <x v="2"/>
    <x v="1"/>
    <x v="10"/>
    <x v="0"/>
    <x v="0"/>
  </r>
  <r>
    <n v="17197"/>
    <x v="1"/>
    <x v="0"/>
    <n v="90000"/>
    <n v="5"/>
    <x v="1"/>
    <s v="Professional"/>
    <s v="Yes"/>
    <n v="2"/>
    <x v="4"/>
    <x v="0"/>
    <x v="24"/>
    <x v="2"/>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1"/>
    <x v="1"/>
  </r>
  <r>
    <n v="26852"/>
    <x v="0"/>
    <x v="0"/>
    <n v="20000"/>
    <n v="3"/>
    <x v="2"/>
    <s v="Manual"/>
    <s v="Yes"/>
    <n v="2"/>
    <x v="0"/>
    <x v="0"/>
    <x v="1"/>
    <x v="0"/>
    <x v="0"/>
  </r>
  <r>
    <n v="12274"/>
    <x v="1"/>
    <x v="1"/>
    <n v="10000"/>
    <n v="2"/>
    <x v="2"/>
    <s v="Manual"/>
    <s v="Yes"/>
    <n v="0"/>
    <x v="0"/>
    <x v="0"/>
    <x v="11"/>
    <x v="1"/>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1"/>
    <x v="0"/>
  </r>
  <r>
    <n v="29191"/>
    <x v="1"/>
    <x v="0"/>
    <n v="130000"/>
    <n v="1"/>
    <x v="4"/>
    <s v="Management"/>
    <s v="No"/>
    <n v="1"/>
    <x v="0"/>
    <x v="1"/>
    <x v="4"/>
    <x v="0"/>
    <x v="1"/>
  </r>
  <r>
    <n v="15030"/>
    <x v="0"/>
    <x v="1"/>
    <n v="20000"/>
    <n v="0"/>
    <x v="0"/>
    <s v="Clerical"/>
    <s v="Yes"/>
    <n v="0"/>
    <x v="0"/>
    <x v="1"/>
    <x v="22"/>
    <x v="1"/>
    <x v="1"/>
  </r>
  <r>
    <n v="24140"/>
    <x v="1"/>
    <x v="1"/>
    <n v="10000"/>
    <n v="0"/>
    <x v="4"/>
    <s v="Manual"/>
    <s v="No"/>
    <n v="0"/>
    <x v="0"/>
    <x v="0"/>
    <x v="25"/>
    <x v="1"/>
    <x v="1"/>
  </r>
  <r>
    <n v="22496"/>
    <x v="0"/>
    <x v="0"/>
    <n v="30000"/>
    <n v="1"/>
    <x v="0"/>
    <s v="Skilled Manual"/>
    <s v="Yes"/>
    <n v="2"/>
    <x v="0"/>
    <x v="0"/>
    <x v="0"/>
    <x v="0"/>
    <x v="0"/>
  </r>
  <r>
    <n v="24065"/>
    <x v="1"/>
    <x v="0"/>
    <n v="20000"/>
    <n v="0"/>
    <x v="2"/>
    <s v="Manual"/>
    <s v="Yes"/>
    <n v="0"/>
    <x v="0"/>
    <x v="0"/>
    <x v="8"/>
    <x v="0"/>
    <x v="1"/>
  </r>
  <r>
    <n v="19914"/>
    <x v="0"/>
    <x v="1"/>
    <n v="80000"/>
    <n v="5"/>
    <x v="0"/>
    <s v="Management"/>
    <s v="Yes"/>
    <n v="2"/>
    <x v="1"/>
    <x v="0"/>
    <x v="24"/>
    <x v="2"/>
    <x v="0"/>
  </r>
  <r>
    <n v="12871"/>
    <x v="1"/>
    <x v="0"/>
    <n v="30000"/>
    <n v="0"/>
    <x v="1"/>
    <s v="Clerical"/>
    <s v="No"/>
    <n v="1"/>
    <x v="1"/>
    <x v="0"/>
    <x v="19"/>
    <x v="1"/>
    <x v="0"/>
  </r>
  <r>
    <n v="22988"/>
    <x v="0"/>
    <x v="0"/>
    <n v="40000"/>
    <n v="2"/>
    <x v="0"/>
    <s v="Management"/>
    <s v="Yes"/>
    <n v="2"/>
    <x v="2"/>
    <x v="1"/>
    <x v="29"/>
    <x v="2"/>
    <x v="1"/>
  </r>
  <r>
    <n v="15922"/>
    <x v="0"/>
    <x v="1"/>
    <n v="150000"/>
    <n v="2"/>
    <x v="2"/>
    <s v="Professional"/>
    <s v="Yes"/>
    <n v="4"/>
    <x v="0"/>
    <x v="0"/>
    <x v="28"/>
    <x v="0"/>
    <x v="0"/>
  </r>
  <r>
    <n v="12344"/>
    <x v="1"/>
    <x v="0"/>
    <n v="80000"/>
    <n v="0"/>
    <x v="0"/>
    <s v="Professional"/>
    <s v="No"/>
    <n v="3"/>
    <x v="4"/>
    <x v="1"/>
    <x v="23"/>
    <x v="1"/>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1"/>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2"/>
    <x v="1"/>
  </r>
  <r>
    <n v="21094"/>
    <x v="1"/>
    <x v="0"/>
    <n v="30000"/>
    <n v="2"/>
    <x v="1"/>
    <s v="Clerical"/>
    <s v="Yes"/>
    <n v="2"/>
    <x v="0"/>
    <x v="0"/>
    <x v="0"/>
    <x v="0"/>
    <x v="0"/>
  </r>
  <r>
    <n v="12234"/>
    <x v="0"/>
    <x v="1"/>
    <n v="10000"/>
    <n v="2"/>
    <x v="1"/>
    <s v="Manual"/>
    <s v="Yes"/>
    <n v="1"/>
    <x v="1"/>
    <x v="0"/>
    <x v="31"/>
    <x v="0"/>
    <x v="0"/>
  </r>
  <r>
    <n v="28683"/>
    <x v="1"/>
    <x v="0"/>
    <n v="10000"/>
    <n v="1"/>
    <x v="2"/>
    <s v="Manual"/>
    <s v="No"/>
    <n v="1"/>
    <x v="2"/>
    <x v="0"/>
    <x v="11"/>
    <x v="1"/>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1"/>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1"/>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0"/>
    <x v="1"/>
  </r>
  <r>
    <n v="29117"/>
    <x v="1"/>
    <x v="1"/>
    <n v="100000"/>
    <n v="1"/>
    <x v="0"/>
    <s v="Management"/>
    <s v="No"/>
    <n v="3"/>
    <x v="0"/>
    <x v="1"/>
    <x v="28"/>
    <x v="0"/>
    <x v="0"/>
  </r>
  <r>
    <n v="17845"/>
    <x v="1"/>
    <x v="0"/>
    <n v="20000"/>
    <n v="0"/>
    <x v="3"/>
    <s v="Manual"/>
    <s v="No"/>
    <n v="2"/>
    <x v="3"/>
    <x v="0"/>
    <x v="21"/>
    <x v="1"/>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1"/>
    <x v="1"/>
  </r>
  <r>
    <n v="15465"/>
    <x v="0"/>
    <x v="0"/>
    <n v="10000"/>
    <n v="0"/>
    <x v="1"/>
    <s v="Manual"/>
    <s v="No"/>
    <n v="1"/>
    <x v="0"/>
    <x v="1"/>
    <x v="37"/>
    <x v="1"/>
    <x v="0"/>
  </r>
  <r>
    <n v="26757"/>
    <x v="1"/>
    <x v="1"/>
    <n v="90000"/>
    <n v="1"/>
    <x v="0"/>
    <s v="Professional"/>
    <s v="Yes"/>
    <n v="1"/>
    <x v="1"/>
    <x v="1"/>
    <x v="15"/>
    <x v="0"/>
    <x v="1"/>
  </r>
  <r>
    <n v="14233"/>
    <x v="1"/>
    <x v="1"/>
    <n v="100000"/>
    <n v="0"/>
    <x v="2"/>
    <s v="Management"/>
    <s v="Yes"/>
    <n v="3"/>
    <x v="4"/>
    <x v="1"/>
    <x v="11"/>
    <x v="1"/>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2"/>
    <x v="1"/>
  </r>
  <r>
    <n v="18144"/>
    <x v="0"/>
    <x v="0"/>
    <n v="80000"/>
    <n v="5"/>
    <x v="0"/>
    <s v="Management"/>
    <s v="Yes"/>
    <n v="2"/>
    <x v="1"/>
    <x v="0"/>
    <x v="33"/>
    <x v="2"/>
    <x v="0"/>
  </r>
  <r>
    <n v="23963"/>
    <x v="0"/>
    <x v="1"/>
    <n v="10000"/>
    <n v="0"/>
    <x v="3"/>
    <s v="Manual"/>
    <s v="No"/>
    <n v="2"/>
    <x v="0"/>
    <x v="0"/>
    <x v="6"/>
    <x v="1"/>
    <x v="0"/>
  </r>
  <r>
    <n v="17907"/>
    <x v="0"/>
    <x v="0"/>
    <n v="10000"/>
    <n v="0"/>
    <x v="1"/>
    <s v="Manual"/>
    <s v="Yes"/>
    <n v="1"/>
    <x v="1"/>
    <x v="1"/>
    <x v="40"/>
    <x v="1"/>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1"/>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2"/>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1"/>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2"/>
    <x v="0"/>
  </r>
  <r>
    <n v="26032"/>
    <x v="0"/>
    <x v="0"/>
    <n v="70000"/>
    <n v="5"/>
    <x v="0"/>
    <s v="Professional"/>
    <s v="Yes"/>
    <n v="4"/>
    <x v="4"/>
    <x v="1"/>
    <x v="3"/>
    <x v="0"/>
    <x v="0"/>
  </r>
  <r>
    <n v="17843"/>
    <x v="1"/>
    <x v="0"/>
    <n v="10000"/>
    <n v="0"/>
    <x v="3"/>
    <s v="Manual"/>
    <s v="No"/>
    <n v="2"/>
    <x v="0"/>
    <x v="0"/>
    <x v="21"/>
    <x v="1"/>
    <x v="0"/>
  </r>
  <r>
    <n v="25559"/>
    <x v="1"/>
    <x v="1"/>
    <n v="20000"/>
    <n v="0"/>
    <x v="0"/>
    <s v="Clerical"/>
    <s v="Yes"/>
    <n v="0"/>
    <x v="0"/>
    <x v="1"/>
    <x v="37"/>
    <x v="1"/>
    <x v="1"/>
  </r>
  <r>
    <n v="16209"/>
    <x v="1"/>
    <x v="0"/>
    <n v="50000"/>
    <n v="0"/>
    <x v="4"/>
    <s v="Skilled Manual"/>
    <s v="Yes"/>
    <n v="0"/>
    <x v="3"/>
    <x v="0"/>
    <x v="4"/>
    <x v="0"/>
    <x v="0"/>
  </r>
  <r>
    <n v="11147"/>
    <x v="0"/>
    <x v="1"/>
    <n v="60000"/>
    <n v="2"/>
    <x v="4"/>
    <s v="Management"/>
    <s v="Yes"/>
    <n v="1"/>
    <x v="0"/>
    <x v="1"/>
    <x v="41"/>
    <x v="2"/>
    <x v="1"/>
  </r>
  <r>
    <n v="15214"/>
    <x v="1"/>
    <x v="0"/>
    <n v="100000"/>
    <n v="0"/>
    <x v="4"/>
    <s v="Management"/>
    <s v="No"/>
    <n v="1"/>
    <x v="3"/>
    <x v="1"/>
    <x v="32"/>
    <x v="0"/>
    <x v="1"/>
  </r>
  <r>
    <n v="11453"/>
    <x v="1"/>
    <x v="1"/>
    <n v="80000"/>
    <n v="0"/>
    <x v="0"/>
    <s v="Professional"/>
    <s v="No"/>
    <n v="3"/>
    <x v="4"/>
    <x v="1"/>
    <x v="6"/>
    <x v="1"/>
    <x v="1"/>
  </r>
  <r>
    <n v="24584"/>
    <x v="1"/>
    <x v="1"/>
    <n v="60000"/>
    <n v="0"/>
    <x v="0"/>
    <s v="Professional"/>
    <s v="No"/>
    <n v="3"/>
    <x v="1"/>
    <x v="1"/>
    <x v="23"/>
    <x v="1"/>
    <x v="0"/>
  </r>
  <r>
    <n v="12585"/>
    <x v="0"/>
    <x v="1"/>
    <n v="10000"/>
    <n v="1"/>
    <x v="2"/>
    <s v="Manual"/>
    <s v="Yes"/>
    <n v="0"/>
    <x v="1"/>
    <x v="1"/>
    <x v="40"/>
    <x v="1"/>
    <x v="1"/>
  </r>
  <r>
    <n v="18626"/>
    <x v="1"/>
    <x v="1"/>
    <n v="40000"/>
    <n v="2"/>
    <x v="1"/>
    <s v="Clerical"/>
    <s v="Yes"/>
    <n v="0"/>
    <x v="3"/>
    <x v="0"/>
    <x v="6"/>
    <x v="1"/>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2"/>
    <x v="0"/>
  </r>
  <r>
    <n v="28729"/>
    <x v="1"/>
    <x v="0"/>
    <n v="20000"/>
    <n v="0"/>
    <x v="3"/>
    <s v="Manual"/>
    <s v="Yes"/>
    <n v="2"/>
    <x v="3"/>
    <x v="0"/>
    <x v="22"/>
    <x v="1"/>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1"/>
    <x v="0"/>
  </r>
  <r>
    <n v="11451"/>
    <x v="1"/>
    <x v="1"/>
    <n v="70000"/>
    <n v="0"/>
    <x v="0"/>
    <s v="Professional"/>
    <s v="No"/>
    <n v="4"/>
    <x v="4"/>
    <x v="1"/>
    <x v="23"/>
    <x v="1"/>
    <x v="1"/>
  </r>
  <r>
    <n v="25553"/>
    <x v="0"/>
    <x v="1"/>
    <n v="30000"/>
    <n v="1"/>
    <x v="0"/>
    <s v="Clerical"/>
    <s v="Yes"/>
    <n v="0"/>
    <x v="0"/>
    <x v="0"/>
    <x v="27"/>
    <x v="2"/>
    <x v="1"/>
  </r>
  <r>
    <n v="27951"/>
    <x v="1"/>
    <x v="1"/>
    <n v="80000"/>
    <n v="4"/>
    <x v="1"/>
    <s v="Professional"/>
    <s v="No"/>
    <n v="2"/>
    <x v="1"/>
    <x v="0"/>
    <x v="9"/>
    <x v="0"/>
    <x v="1"/>
  </r>
  <r>
    <n v="25026"/>
    <x v="0"/>
    <x v="1"/>
    <n v="20000"/>
    <n v="2"/>
    <x v="3"/>
    <s v="Clerical"/>
    <s v="Yes"/>
    <n v="3"/>
    <x v="2"/>
    <x v="1"/>
    <x v="9"/>
    <x v="0"/>
    <x v="0"/>
  </r>
  <r>
    <n v="13673"/>
    <x v="1"/>
    <x v="0"/>
    <n v="20000"/>
    <n v="0"/>
    <x v="3"/>
    <s v="Manual"/>
    <s v="No"/>
    <n v="2"/>
    <x v="0"/>
    <x v="0"/>
    <x v="37"/>
    <x v="1"/>
    <x v="0"/>
  </r>
  <r>
    <n v="16043"/>
    <x v="1"/>
    <x v="1"/>
    <n v="10000"/>
    <n v="1"/>
    <x v="0"/>
    <s v="Manual"/>
    <s v="Yes"/>
    <n v="0"/>
    <x v="0"/>
    <x v="0"/>
    <x v="28"/>
    <x v="0"/>
    <x v="0"/>
  </r>
  <r>
    <n v="22399"/>
    <x v="1"/>
    <x v="1"/>
    <n v="10000"/>
    <n v="0"/>
    <x v="1"/>
    <s v="Manual"/>
    <s v="Yes"/>
    <n v="1"/>
    <x v="3"/>
    <x v="1"/>
    <x v="22"/>
    <x v="1"/>
    <x v="1"/>
  </r>
  <r>
    <n v="27696"/>
    <x v="0"/>
    <x v="1"/>
    <n v="60000"/>
    <n v="1"/>
    <x v="0"/>
    <s v="Professional"/>
    <s v="Yes"/>
    <n v="1"/>
    <x v="2"/>
    <x v="1"/>
    <x v="1"/>
    <x v="0"/>
    <x v="1"/>
  </r>
  <r>
    <n v="25313"/>
    <x v="1"/>
    <x v="1"/>
    <n v="10000"/>
    <n v="0"/>
    <x v="3"/>
    <s v="Manual"/>
    <s v="No"/>
    <n v="2"/>
    <x v="3"/>
    <x v="0"/>
    <x v="11"/>
    <x v="1"/>
    <x v="0"/>
  </r>
  <r>
    <n v="13813"/>
    <x v="0"/>
    <x v="0"/>
    <n v="30000"/>
    <n v="3"/>
    <x v="1"/>
    <s v="Clerical"/>
    <s v="No"/>
    <n v="0"/>
    <x v="0"/>
    <x v="0"/>
    <x v="0"/>
    <x v="0"/>
    <x v="0"/>
  </r>
  <r>
    <n v="18711"/>
    <x v="1"/>
    <x v="0"/>
    <n v="70000"/>
    <n v="5"/>
    <x v="0"/>
    <s v="Professional"/>
    <s v="Yes"/>
    <n v="4"/>
    <x v="4"/>
    <x v="1"/>
    <x v="32"/>
    <x v="0"/>
    <x v="0"/>
  </r>
  <r>
    <n v="19650"/>
    <x v="0"/>
    <x v="0"/>
    <n v="30000"/>
    <n v="2"/>
    <x v="1"/>
    <s v="Clerical"/>
    <s v="No"/>
    <n v="2"/>
    <x v="0"/>
    <x v="1"/>
    <x v="41"/>
    <x v="2"/>
    <x v="0"/>
  </r>
  <r>
    <n v="14135"/>
    <x v="0"/>
    <x v="1"/>
    <n v="20000"/>
    <n v="1"/>
    <x v="1"/>
    <s v="Manual"/>
    <s v="Yes"/>
    <n v="0"/>
    <x v="3"/>
    <x v="0"/>
    <x v="11"/>
    <x v="1"/>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1"/>
    <x v="1"/>
  </r>
  <r>
    <n v="24611"/>
    <x v="1"/>
    <x v="1"/>
    <n v="90000"/>
    <n v="0"/>
    <x v="0"/>
    <s v="Professional"/>
    <s v="No"/>
    <n v="4"/>
    <x v="4"/>
    <x v="1"/>
    <x v="11"/>
    <x v="1"/>
    <x v="1"/>
  </r>
  <r>
    <n v="11340"/>
    <x v="0"/>
    <x v="0"/>
    <n v="10000"/>
    <n v="1"/>
    <x v="4"/>
    <s v="Clerical"/>
    <s v="Yes"/>
    <n v="0"/>
    <x v="0"/>
    <x v="0"/>
    <x v="43"/>
    <x v="2"/>
    <x v="1"/>
  </r>
  <r>
    <n v="25693"/>
    <x v="1"/>
    <x v="0"/>
    <n v="30000"/>
    <n v="5"/>
    <x v="4"/>
    <s v="Clerical"/>
    <s v="Yes"/>
    <n v="0"/>
    <x v="0"/>
    <x v="0"/>
    <x v="20"/>
    <x v="0"/>
    <x v="1"/>
  </r>
  <r>
    <n v="25555"/>
    <x v="0"/>
    <x v="0"/>
    <n v="10000"/>
    <n v="0"/>
    <x v="1"/>
    <s v="Manual"/>
    <s v="No"/>
    <n v="1"/>
    <x v="0"/>
    <x v="1"/>
    <x v="22"/>
    <x v="1"/>
    <x v="1"/>
  </r>
  <r>
    <n v="22006"/>
    <x v="0"/>
    <x v="1"/>
    <n v="70000"/>
    <n v="5"/>
    <x v="1"/>
    <s v="Skilled Manual"/>
    <s v="Yes"/>
    <n v="3"/>
    <x v="2"/>
    <x v="1"/>
    <x v="30"/>
    <x v="0"/>
    <x v="0"/>
  </r>
  <r>
    <n v="20060"/>
    <x v="1"/>
    <x v="0"/>
    <n v="30000"/>
    <n v="0"/>
    <x v="2"/>
    <s v="Manual"/>
    <s v="No"/>
    <n v="1"/>
    <x v="1"/>
    <x v="0"/>
    <x v="17"/>
    <x v="1"/>
    <x v="1"/>
  </r>
  <r>
    <n v="17702"/>
    <x v="0"/>
    <x v="1"/>
    <n v="10000"/>
    <n v="1"/>
    <x v="4"/>
    <s v="Manual"/>
    <s v="Yes"/>
    <n v="0"/>
    <x v="0"/>
    <x v="0"/>
    <x v="34"/>
    <x v="0"/>
    <x v="0"/>
  </r>
  <r>
    <n v="12503"/>
    <x v="1"/>
    <x v="0"/>
    <n v="30000"/>
    <n v="3"/>
    <x v="1"/>
    <s v="Clerical"/>
    <s v="Yes"/>
    <n v="2"/>
    <x v="0"/>
    <x v="0"/>
    <x v="40"/>
    <x v="1"/>
    <x v="0"/>
  </r>
  <r>
    <n v="23908"/>
    <x v="1"/>
    <x v="1"/>
    <n v="30000"/>
    <n v="1"/>
    <x v="0"/>
    <s v="Clerical"/>
    <s v="No"/>
    <n v="1"/>
    <x v="0"/>
    <x v="0"/>
    <x v="32"/>
    <x v="0"/>
    <x v="1"/>
  </r>
  <r>
    <n v="22527"/>
    <x v="1"/>
    <x v="0"/>
    <n v="20000"/>
    <n v="0"/>
    <x v="2"/>
    <s v="Manual"/>
    <s v="No"/>
    <n v="1"/>
    <x v="1"/>
    <x v="0"/>
    <x v="19"/>
    <x v="1"/>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1"/>
    <x v="1"/>
  </r>
  <r>
    <n v="13981"/>
    <x v="0"/>
    <x v="0"/>
    <n v="10000"/>
    <n v="5"/>
    <x v="2"/>
    <s v="Skilled Manual"/>
    <s v="No"/>
    <n v="3"/>
    <x v="3"/>
    <x v="1"/>
    <x v="24"/>
    <x v="2"/>
    <x v="0"/>
  </r>
  <r>
    <n v="23432"/>
    <x v="1"/>
    <x v="1"/>
    <n v="70000"/>
    <n v="0"/>
    <x v="0"/>
    <s v="Professional"/>
    <s v="Yes"/>
    <n v="1"/>
    <x v="2"/>
    <x v="1"/>
    <x v="34"/>
    <x v="0"/>
    <x v="1"/>
  </r>
  <r>
    <n v="22931"/>
    <x v="0"/>
    <x v="1"/>
    <n v="100000"/>
    <n v="5"/>
    <x v="4"/>
    <s v="Management"/>
    <s v="No"/>
    <n v="1"/>
    <x v="3"/>
    <x v="1"/>
    <x v="44"/>
    <x v="2"/>
    <x v="1"/>
  </r>
  <r>
    <n v="18172"/>
    <x v="0"/>
    <x v="1"/>
    <n v="130000"/>
    <n v="4"/>
    <x v="2"/>
    <s v="Professional"/>
    <s v="Yes"/>
    <n v="3"/>
    <x v="0"/>
    <x v="0"/>
    <x v="10"/>
    <x v="0"/>
    <x v="0"/>
  </r>
  <r>
    <n v="12666"/>
    <x v="1"/>
    <x v="1"/>
    <n v="60000"/>
    <n v="0"/>
    <x v="0"/>
    <s v="Professional"/>
    <s v="No"/>
    <n v="4"/>
    <x v="1"/>
    <x v="1"/>
    <x v="23"/>
    <x v="1"/>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1"/>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1"/>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1"/>
    <x v="0"/>
  </r>
  <r>
    <n v="24061"/>
    <x v="0"/>
    <x v="1"/>
    <n v="10000"/>
    <n v="4"/>
    <x v="3"/>
    <s v="Manual"/>
    <s v="Yes"/>
    <n v="1"/>
    <x v="0"/>
    <x v="0"/>
    <x v="8"/>
    <x v="0"/>
    <x v="1"/>
  </r>
  <r>
    <n v="26879"/>
    <x v="1"/>
    <x v="0"/>
    <n v="20000"/>
    <n v="0"/>
    <x v="2"/>
    <s v="Manual"/>
    <s v="No"/>
    <n v="1"/>
    <x v="1"/>
    <x v="0"/>
    <x v="25"/>
    <x v="1"/>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1"/>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1"/>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1"/>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2"/>
    <x v="0"/>
  </r>
  <r>
    <n v="25906"/>
    <x v="1"/>
    <x v="0"/>
    <n v="10000"/>
    <n v="5"/>
    <x v="2"/>
    <s v="Skilled Manual"/>
    <s v="No"/>
    <n v="2"/>
    <x v="3"/>
    <x v="1"/>
    <x v="24"/>
    <x v="2"/>
    <x v="0"/>
  </r>
  <r>
    <n v="17926"/>
    <x v="1"/>
    <x v="0"/>
    <n v="40000"/>
    <n v="0"/>
    <x v="0"/>
    <s v="Clerical"/>
    <s v="No"/>
    <n v="0"/>
    <x v="0"/>
    <x v="1"/>
    <x v="26"/>
    <x v="1"/>
    <x v="1"/>
  </r>
  <r>
    <n v="26928"/>
    <x v="1"/>
    <x v="1"/>
    <n v="30000"/>
    <n v="1"/>
    <x v="0"/>
    <s v="Clerical"/>
    <s v="Yes"/>
    <n v="0"/>
    <x v="0"/>
    <x v="0"/>
    <x v="24"/>
    <x v="2"/>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2"/>
    <x v="0"/>
  </r>
  <r>
    <n v="28758"/>
    <x v="0"/>
    <x v="1"/>
    <n v="40000"/>
    <n v="2"/>
    <x v="1"/>
    <s v="Clerical"/>
    <s v="Yes"/>
    <n v="1"/>
    <x v="3"/>
    <x v="0"/>
    <x v="11"/>
    <x v="1"/>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2"/>
    <x v="1"/>
  </r>
  <r>
    <n v="14154"/>
    <x v="0"/>
    <x v="1"/>
    <n v="30000"/>
    <n v="0"/>
    <x v="0"/>
    <s v="Clerical"/>
    <s v="Yes"/>
    <n v="0"/>
    <x v="0"/>
    <x v="0"/>
    <x v="11"/>
    <x v="1"/>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1"/>
    <x v="0"/>
  </r>
  <r>
    <n v="19508"/>
    <x v="0"/>
    <x v="1"/>
    <n v="10000"/>
    <n v="0"/>
    <x v="3"/>
    <s v="Manual"/>
    <s v="No"/>
    <n v="2"/>
    <x v="0"/>
    <x v="0"/>
    <x v="25"/>
    <x v="1"/>
    <x v="0"/>
  </r>
  <r>
    <n v="11489"/>
    <x v="1"/>
    <x v="0"/>
    <n v="20000"/>
    <n v="0"/>
    <x v="3"/>
    <s v="Manual"/>
    <s v="No"/>
    <n v="2"/>
    <x v="3"/>
    <x v="0"/>
    <x v="11"/>
    <x v="1"/>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1"/>
    <x v="0"/>
  </r>
  <r>
    <n v="29424"/>
    <x v="0"/>
    <x v="1"/>
    <n v="10000"/>
    <n v="0"/>
    <x v="3"/>
    <s v="Manual"/>
    <s v="Yes"/>
    <n v="2"/>
    <x v="0"/>
    <x v="0"/>
    <x v="21"/>
    <x v="1"/>
    <x v="0"/>
  </r>
  <r>
    <n v="15926"/>
    <x v="1"/>
    <x v="0"/>
    <n v="120000"/>
    <n v="3"/>
    <x v="2"/>
    <s v="Professional"/>
    <s v="Yes"/>
    <n v="4"/>
    <x v="2"/>
    <x v="0"/>
    <x v="5"/>
    <x v="0"/>
    <x v="1"/>
  </r>
  <r>
    <n v="14554"/>
    <x v="0"/>
    <x v="1"/>
    <n v="20000"/>
    <n v="1"/>
    <x v="0"/>
    <s v="Clerical"/>
    <s v="Yes"/>
    <n v="0"/>
    <x v="0"/>
    <x v="0"/>
    <x v="29"/>
    <x v="2"/>
    <x v="0"/>
  </r>
  <r>
    <n v="16468"/>
    <x v="1"/>
    <x v="1"/>
    <n v="30000"/>
    <n v="0"/>
    <x v="1"/>
    <s v="Clerical"/>
    <s v="Yes"/>
    <n v="1"/>
    <x v="1"/>
    <x v="0"/>
    <x v="25"/>
    <x v="1"/>
    <x v="0"/>
  </r>
  <r>
    <n v="19174"/>
    <x v="1"/>
    <x v="0"/>
    <n v="30000"/>
    <n v="0"/>
    <x v="2"/>
    <s v="Manual"/>
    <s v="No"/>
    <n v="1"/>
    <x v="1"/>
    <x v="0"/>
    <x v="21"/>
    <x v="1"/>
    <x v="1"/>
  </r>
  <r>
    <n v="19183"/>
    <x v="1"/>
    <x v="1"/>
    <n v="10000"/>
    <n v="0"/>
    <x v="3"/>
    <s v="Manual"/>
    <s v="Yes"/>
    <n v="2"/>
    <x v="3"/>
    <x v="0"/>
    <x v="11"/>
    <x v="1"/>
    <x v="0"/>
  </r>
  <r>
    <n v="13683"/>
    <x v="1"/>
    <x v="0"/>
    <n v="30000"/>
    <n v="0"/>
    <x v="2"/>
    <s v="Manual"/>
    <s v="No"/>
    <n v="1"/>
    <x v="1"/>
    <x v="0"/>
    <x v="21"/>
    <x v="1"/>
    <x v="0"/>
  </r>
  <r>
    <n v="17848"/>
    <x v="1"/>
    <x v="1"/>
    <n v="30000"/>
    <n v="0"/>
    <x v="1"/>
    <s v="Clerical"/>
    <s v="No"/>
    <n v="1"/>
    <x v="1"/>
    <x v="0"/>
    <x v="23"/>
    <x v="1"/>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1"/>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1"/>
    <x v="0"/>
  </r>
  <r>
    <n v="12332"/>
    <x v="0"/>
    <x v="1"/>
    <n v="90000"/>
    <n v="4"/>
    <x v="2"/>
    <s v="Management"/>
    <s v="Yes"/>
    <n v="3"/>
    <x v="2"/>
    <x v="0"/>
    <x v="7"/>
    <x v="0"/>
    <x v="1"/>
  </r>
  <r>
    <n v="17230"/>
    <x v="0"/>
    <x v="1"/>
    <n v="80000"/>
    <n v="0"/>
    <x v="0"/>
    <s v="Professional"/>
    <s v="Yes"/>
    <n v="3"/>
    <x v="4"/>
    <x v="1"/>
    <x v="25"/>
    <x v="1"/>
    <x v="0"/>
  </r>
  <r>
    <n v="13082"/>
    <x v="1"/>
    <x v="1"/>
    <n v="130000"/>
    <n v="0"/>
    <x v="4"/>
    <s v="Management"/>
    <s v="Yes"/>
    <n v="0"/>
    <x v="1"/>
    <x v="1"/>
    <x v="28"/>
    <x v="0"/>
    <x v="1"/>
  </r>
  <r>
    <n v="22518"/>
    <x v="1"/>
    <x v="0"/>
    <n v="30000"/>
    <n v="3"/>
    <x v="1"/>
    <s v="Clerical"/>
    <s v="No"/>
    <n v="2"/>
    <x v="0"/>
    <x v="0"/>
    <x v="40"/>
    <x v="1"/>
    <x v="1"/>
  </r>
  <r>
    <n v="13687"/>
    <x v="0"/>
    <x v="1"/>
    <n v="40000"/>
    <n v="1"/>
    <x v="0"/>
    <s v="Skilled Manual"/>
    <s v="Yes"/>
    <n v="1"/>
    <x v="0"/>
    <x v="0"/>
    <x v="6"/>
    <x v="1"/>
    <x v="1"/>
  </r>
  <r>
    <n v="23571"/>
    <x v="0"/>
    <x v="0"/>
    <n v="40000"/>
    <n v="2"/>
    <x v="0"/>
    <s v="Management"/>
    <s v="Yes"/>
    <n v="2"/>
    <x v="0"/>
    <x v="1"/>
    <x v="29"/>
    <x v="2"/>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1"/>
    <x v="0"/>
  </r>
  <r>
    <n v="16179"/>
    <x v="1"/>
    <x v="0"/>
    <n v="80000"/>
    <n v="5"/>
    <x v="0"/>
    <s v="Professional"/>
    <s v="Yes"/>
    <n v="4"/>
    <x v="3"/>
    <x v="1"/>
    <x v="13"/>
    <x v="0"/>
    <x v="0"/>
  </r>
  <r>
    <n v="15628"/>
    <x v="0"/>
    <x v="0"/>
    <n v="40000"/>
    <n v="1"/>
    <x v="0"/>
    <s v="Skilled Manual"/>
    <s v="Yes"/>
    <n v="1"/>
    <x v="0"/>
    <x v="0"/>
    <x v="47"/>
    <x v="2"/>
    <x v="0"/>
  </r>
  <r>
    <n v="20977"/>
    <x v="0"/>
    <x v="1"/>
    <n v="20000"/>
    <n v="1"/>
    <x v="0"/>
    <s v="Clerical"/>
    <s v="Yes"/>
    <n v="0"/>
    <x v="0"/>
    <x v="0"/>
    <x v="46"/>
    <x v="2"/>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1"/>
    <x v="1"/>
  </r>
  <r>
    <n v="22974"/>
    <x v="0"/>
    <x v="0"/>
    <n v="30000"/>
    <n v="2"/>
    <x v="1"/>
    <s v="Clerical"/>
    <s v="Yes"/>
    <n v="2"/>
    <x v="2"/>
    <x v="1"/>
    <x v="45"/>
    <x v="2"/>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1"/>
    <x v="1"/>
  </r>
  <r>
    <n v="13690"/>
    <x v="1"/>
    <x v="0"/>
    <n v="20000"/>
    <n v="0"/>
    <x v="3"/>
    <s v="Manual"/>
    <s v="No"/>
    <n v="2"/>
    <x v="3"/>
    <x v="0"/>
    <x v="17"/>
    <x v="1"/>
    <x v="1"/>
  </r>
  <r>
    <n v="12568"/>
    <x v="0"/>
    <x v="0"/>
    <n v="30000"/>
    <n v="1"/>
    <x v="0"/>
    <s v="Clerical"/>
    <s v="Yes"/>
    <n v="0"/>
    <x v="0"/>
    <x v="0"/>
    <x v="46"/>
    <x v="2"/>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1"/>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2"/>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1"/>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1"/>
    <x v="1"/>
  </r>
  <r>
    <n v="13961"/>
    <x v="0"/>
    <x v="0"/>
    <n v="80000"/>
    <n v="5"/>
    <x v="4"/>
    <s v="Management"/>
    <s v="Yes"/>
    <n v="3"/>
    <x v="0"/>
    <x v="1"/>
    <x v="8"/>
    <x v="0"/>
    <x v="0"/>
  </r>
  <r>
    <n v="11897"/>
    <x v="1"/>
    <x v="1"/>
    <n v="60000"/>
    <n v="2"/>
    <x v="0"/>
    <s v="Professional"/>
    <s v="No"/>
    <n v="1"/>
    <x v="0"/>
    <x v="1"/>
    <x v="34"/>
    <x v="0"/>
    <x v="1"/>
  </r>
  <r>
    <n v="11139"/>
    <x v="1"/>
    <x v="0"/>
    <n v="30000"/>
    <n v="2"/>
    <x v="1"/>
    <s v="Clerical"/>
    <s v="No"/>
    <n v="2"/>
    <x v="2"/>
    <x v="1"/>
    <x v="41"/>
    <x v="2"/>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1"/>
    <x v="1"/>
  </r>
  <r>
    <n v="27169"/>
    <x v="1"/>
    <x v="1"/>
    <n v="30000"/>
    <n v="0"/>
    <x v="2"/>
    <s v="Manual"/>
    <s v="Yes"/>
    <n v="1"/>
    <x v="1"/>
    <x v="0"/>
    <x v="17"/>
    <x v="1"/>
    <x v="1"/>
  </r>
  <r>
    <n v="14805"/>
    <x v="1"/>
    <x v="0"/>
    <n v="10000"/>
    <n v="3"/>
    <x v="3"/>
    <s v="Manual"/>
    <s v="Yes"/>
    <n v="2"/>
    <x v="0"/>
    <x v="0"/>
    <x v="1"/>
    <x v="0"/>
    <x v="0"/>
  </r>
  <r>
    <n v="15822"/>
    <x v="0"/>
    <x v="1"/>
    <n v="40000"/>
    <n v="2"/>
    <x v="0"/>
    <s v="Management"/>
    <s v="Yes"/>
    <n v="2"/>
    <x v="0"/>
    <x v="1"/>
    <x v="41"/>
    <x v="2"/>
    <x v="0"/>
  </r>
  <r>
    <n v="19389"/>
    <x v="1"/>
    <x v="1"/>
    <n v="30000"/>
    <n v="0"/>
    <x v="1"/>
    <s v="Clerical"/>
    <s v="No"/>
    <n v="1"/>
    <x v="1"/>
    <x v="0"/>
    <x v="26"/>
    <x v="1"/>
    <x v="0"/>
  </r>
  <r>
    <n v="17048"/>
    <x v="1"/>
    <x v="0"/>
    <n v="90000"/>
    <n v="1"/>
    <x v="4"/>
    <s v="Management"/>
    <s v="Yes"/>
    <n v="0"/>
    <x v="0"/>
    <x v="1"/>
    <x v="4"/>
    <x v="0"/>
    <x v="1"/>
  </r>
  <r>
    <n v="22204"/>
    <x v="0"/>
    <x v="1"/>
    <n v="110000"/>
    <n v="4"/>
    <x v="0"/>
    <s v="Management"/>
    <s v="Yes"/>
    <n v="3"/>
    <x v="1"/>
    <x v="1"/>
    <x v="28"/>
    <x v="0"/>
    <x v="0"/>
  </r>
  <r>
    <n v="12718"/>
    <x v="1"/>
    <x v="0"/>
    <n v="30000"/>
    <n v="0"/>
    <x v="1"/>
    <s v="Clerical"/>
    <s v="Yes"/>
    <n v="1"/>
    <x v="1"/>
    <x v="0"/>
    <x v="23"/>
    <x v="1"/>
    <x v="0"/>
  </r>
  <r>
    <n v="15019"/>
    <x v="1"/>
    <x v="0"/>
    <n v="30000"/>
    <n v="3"/>
    <x v="2"/>
    <s v="Skilled Manual"/>
    <s v="Yes"/>
    <n v="2"/>
    <x v="2"/>
    <x v="1"/>
    <x v="10"/>
    <x v="0"/>
    <x v="0"/>
  </r>
  <r>
    <n v="28488"/>
    <x v="1"/>
    <x v="1"/>
    <n v="20000"/>
    <n v="0"/>
    <x v="1"/>
    <s v="Manual"/>
    <s v="Yes"/>
    <n v="0"/>
    <x v="0"/>
    <x v="1"/>
    <x v="26"/>
    <x v="1"/>
    <x v="1"/>
  </r>
  <r>
    <n v="21891"/>
    <x v="0"/>
    <x v="0"/>
    <n v="110000"/>
    <n v="0"/>
    <x v="2"/>
    <s v="Management"/>
    <s v="Yes"/>
    <n v="3"/>
    <x v="4"/>
    <x v="1"/>
    <x v="17"/>
    <x v="1"/>
    <x v="1"/>
  </r>
  <r>
    <n v="27814"/>
    <x v="1"/>
    <x v="0"/>
    <n v="30000"/>
    <n v="3"/>
    <x v="1"/>
    <s v="Clerical"/>
    <s v="No"/>
    <n v="1"/>
    <x v="0"/>
    <x v="0"/>
    <x v="22"/>
    <x v="1"/>
    <x v="0"/>
  </r>
  <r>
    <n v="22175"/>
    <x v="0"/>
    <x v="0"/>
    <n v="30000"/>
    <n v="3"/>
    <x v="2"/>
    <s v="Skilled Manual"/>
    <s v="Yes"/>
    <n v="2"/>
    <x v="2"/>
    <x v="1"/>
    <x v="39"/>
    <x v="0"/>
    <x v="1"/>
  </r>
  <r>
    <n v="29447"/>
    <x v="1"/>
    <x v="0"/>
    <n v="10000"/>
    <n v="2"/>
    <x v="0"/>
    <s v="Clerical"/>
    <s v="No"/>
    <n v="1"/>
    <x v="1"/>
    <x v="0"/>
    <x v="35"/>
    <x v="2"/>
    <x v="0"/>
  </r>
  <r>
    <n v="19784"/>
    <x v="0"/>
    <x v="0"/>
    <n v="80000"/>
    <n v="2"/>
    <x v="2"/>
    <s v="Skilled Manual"/>
    <s v="Yes"/>
    <n v="2"/>
    <x v="2"/>
    <x v="1"/>
    <x v="5"/>
    <x v="0"/>
    <x v="1"/>
  </r>
  <r>
    <n v="27824"/>
    <x v="1"/>
    <x v="0"/>
    <n v="30000"/>
    <n v="3"/>
    <x v="1"/>
    <s v="Clerical"/>
    <s v="Yes"/>
    <n v="2"/>
    <x v="0"/>
    <x v="0"/>
    <x v="26"/>
    <x v="1"/>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1"/>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1"/>
    <x v="1"/>
  </r>
  <r>
    <n v="14278"/>
    <x v="0"/>
    <x v="0"/>
    <n v="130000"/>
    <n v="0"/>
    <x v="4"/>
    <s v="Management"/>
    <s v="Yes"/>
    <n v="1"/>
    <x v="4"/>
    <x v="1"/>
    <x v="28"/>
    <x v="0"/>
    <x v="0"/>
  </r>
  <r>
    <n v="20711"/>
    <x v="0"/>
    <x v="0"/>
    <n v="40000"/>
    <n v="1"/>
    <x v="0"/>
    <s v="Skilled Manual"/>
    <s v="Yes"/>
    <n v="0"/>
    <x v="3"/>
    <x v="0"/>
    <x v="21"/>
    <x v="1"/>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2"/>
    <x v="0"/>
  </r>
  <r>
    <n v="26765"/>
    <x v="1"/>
    <x v="0"/>
    <n v="70000"/>
    <n v="5"/>
    <x v="1"/>
    <s v="Skilled Manual"/>
    <s v="Yes"/>
    <n v="2"/>
    <x v="2"/>
    <x v="1"/>
    <x v="12"/>
    <x v="0"/>
    <x v="0"/>
  </r>
  <r>
    <n v="12389"/>
    <x v="1"/>
    <x v="1"/>
    <n v="30000"/>
    <n v="0"/>
    <x v="2"/>
    <s v="Manual"/>
    <s v="No"/>
    <n v="1"/>
    <x v="1"/>
    <x v="0"/>
    <x v="17"/>
    <x v="1"/>
    <x v="0"/>
  </r>
  <r>
    <n v="13585"/>
    <x v="0"/>
    <x v="0"/>
    <n v="80000"/>
    <n v="4"/>
    <x v="1"/>
    <s v="Professional"/>
    <s v="No"/>
    <n v="1"/>
    <x v="1"/>
    <x v="0"/>
    <x v="39"/>
    <x v="0"/>
    <x v="1"/>
  </r>
  <r>
    <n v="26385"/>
    <x v="1"/>
    <x v="1"/>
    <n v="120000"/>
    <n v="3"/>
    <x v="2"/>
    <s v="Professional"/>
    <s v="No"/>
    <n v="4"/>
    <x v="2"/>
    <x v="0"/>
    <x v="5"/>
    <x v="0"/>
    <x v="0"/>
  </r>
  <r>
    <n v="12236"/>
    <x v="0"/>
    <x v="0"/>
    <n v="20000"/>
    <n v="1"/>
    <x v="1"/>
    <s v="Manual"/>
    <s v="Yes"/>
    <n v="0"/>
    <x v="0"/>
    <x v="0"/>
    <x v="27"/>
    <x v="2"/>
    <x v="0"/>
  </r>
  <r>
    <n v="21560"/>
    <x v="0"/>
    <x v="1"/>
    <n v="120000"/>
    <n v="0"/>
    <x v="3"/>
    <s v="Professional"/>
    <s v="Yes"/>
    <n v="4"/>
    <x v="4"/>
    <x v="1"/>
    <x v="21"/>
    <x v="1"/>
    <x v="1"/>
  </r>
  <r>
    <n v="21554"/>
    <x v="1"/>
    <x v="0"/>
    <n v="80000"/>
    <n v="0"/>
    <x v="0"/>
    <s v="Professional"/>
    <s v="No"/>
    <n v="3"/>
    <x v="4"/>
    <x v="1"/>
    <x v="6"/>
    <x v="1"/>
    <x v="0"/>
  </r>
  <r>
    <n v="13662"/>
    <x v="1"/>
    <x v="1"/>
    <n v="20000"/>
    <n v="0"/>
    <x v="3"/>
    <s v="Manual"/>
    <s v="Yes"/>
    <n v="2"/>
    <x v="3"/>
    <x v="0"/>
    <x v="23"/>
    <x v="1"/>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2"/>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2"/>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1"/>
    <x v="1"/>
  </r>
  <r>
    <n v="26984"/>
    <x v="0"/>
    <x v="1"/>
    <n v="40000"/>
    <n v="1"/>
    <x v="0"/>
    <s v="Skilled Manual"/>
    <s v="Yes"/>
    <n v="1"/>
    <x v="0"/>
    <x v="0"/>
    <x v="21"/>
    <x v="1"/>
    <x v="1"/>
  </r>
  <r>
    <n v="18294"/>
    <x v="0"/>
    <x v="0"/>
    <n v="90000"/>
    <n v="1"/>
    <x v="0"/>
    <s v="Professional"/>
    <s v="Yes"/>
    <n v="1"/>
    <x v="2"/>
    <x v="1"/>
    <x v="30"/>
    <x v="0"/>
    <x v="0"/>
  </r>
  <r>
    <n v="28564"/>
    <x v="1"/>
    <x v="0"/>
    <n v="40000"/>
    <n v="2"/>
    <x v="1"/>
    <s v="Clerical"/>
    <s v="Yes"/>
    <n v="0"/>
    <x v="3"/>
    <x v="0"/>
    <x v="6"/>
    <x v="1"/>
    <x v="1"/>
  </r>
  <r>
    <n v="28521"/>
    <x v="1"/>
    <x v="1"/>
    <n v="40000"/>
    <n v="0"/>
    <x v="4"/>
    <s v="Clerical"/>
    <s v="No"/>
    <n v="0"/>
    <x v="0"/>
    <x v="0"/>
    <x v="4"/>
    <x v="0"/>
    <x v="1"/>
  </r>
  <r>
    <n v="15450"/>
    <x v="0"/>
    <x v="1"/>
    <n v="10000"/>
    <n v="1"/>
    <x v="4"/>
    <s v="Clerical"/>
    <s v="Yes"/>
    <n v="0"/>
    <x v="0"/>
    <x v="0"/>
    <x v="43"/>
    <x v="2"/>
    <x v="0"/>
  </r>
  <r>
    <n v="25681"/>
    <x v="1"/>
    <x v="0"/>
    <n v="30000"/>
    <n v="0"/>
    <x v="1"/>
    <s v="Clerical"/>
    <s v="No"/>
    <n v="1"/>
    <x v="1"/>
    <x v="0"/>
    <x v="23"/>
    <x v="1"/>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1"/>
    <x v="0"/>
  </r>
  <r>
    <n v="27835"/>
    <x v="0"/>
    <x v="1"/>
    <n v="20000"/>
    <n v="0"/>
    <x v="3"/>
    <s v="Manual"/>
    <s v="Yes"/>
    <n v="2"/>
    <x v="0"/>
    <x v="0"/>
    <x v="21"/>
    <x v="1"/>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1"/>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1"/>
    <x v="1"/>
  </r>
  <r>
    <n v="26012"/>
    <x v="0"/>
    <x v="1"/>
    <n v="80000"/>
    <n v="1"/>
    <x v="1"/>
    <s v="Skilled Manual"/>
    <s v="Yes"/>
    <n v="1"/>
    <x v="1"/>
    <x v="2"/>
    <x v="28"/>
    <x v="0"/>
    <x v="1"/>
  </r>
  <r>
    <n v="26575"/>
    <x v="1"/>
    <x v="0"/>
    <n v="40000"/>
    <n v="0"/>
    <x v="2"/>
    <s v="Skilled Manual"/>
    <s v="No"/>
    <n v="2"/>
    <x v="3"/>
    <x v="2"/>
    <x v="23"/>
    <x v="1"/>
    <x v="1"/>
  </r>
  <r>
    <n v="15559"/>
    <x v="0"/>
    <x v="1"/>
    <n v="60000"/>
    <n v="5"/>
    <x v="0"/>
    <s v="Professional"/>
    <s v="Yes"/>
    <n v="1"/>
    <x v="1"/>
    <x v="2"/>
    <x v="15"/>
    <x v="0"/>
    <x v="0"/>
  </r>
  <r>
    <n v="19235"/>
    <x v="0"/>
    <x v="0"/>
    <n v="50000"/>
    <n v="0"/>
    <x v="4"/>
    <s v="Skilled Manual"/>
    <s v="Yes"/>
    <n v="0"/>
    <x v="0"/>
    <x v="2"/>
    <x v="17"/>
    <x v="1"/>
    <x v="0"/>
  </r>
  <r>
    <n v="15275"/>
    <x v="0"/>
    <x v="1"/>
    <n v="40000"/>
    <n v="0"/>
    <x v="1"/>
    <s v="Skilled Manual"/>
    <s v="Yes"/>
    <n v="1"/>
    <x v="2"/>
    <x v="2"/>
    <x v="19"/>
    <x v="1"/>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2"/>
    <x v="1"/>
  </r>
  <r>
    <n v="18052"/>
    <x v="0"/>
    <x v="0"/>
    <n v="60000"/>
    <n v="1"/>
    <x v="1"/>
    <s v="Skilled Manual"/>
    <s v="Yes"/>
    <n v="1"/>
    <x v="0"/>
    <x v="2"/>
    <x v="12"/>
    <x v="0"/>
    <x v="1"/>
  </r>
  <r>
    <n v="13353"/>
    <x v="1"/>
    <x v="0"/>
    <n v="60000"/>
    <n v="4"/>
    <x v="4"/>
    <s v="Management"/>
    <s v="Yes"/>
    <n v="2"/>
    <x v="4"/>
    <x v="2"/>
    <x v="33"/>
    <x v="2"/>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1"/>
    <x v="1"/>
  </r>
  <r>
    <n v="15740"/>
    <x v="0"/>
    <x v="1"/>
    <n v="80000"/>
    <n v="5"/>
    <x v="0"/>
    <s v="Management"/>
    <s v="Yes"/>
    <n v="2"/>
    <x v="3"/>
    <x v="2"/>
    <x v="46"/>
    <x v="2"/>
    <x v="0"/>
  </r>
  <r>
    <n v="27638"/>
    <x v="1"/>
    <x v="1"/>
    <n v="100000"/>
    <n v="1"/>
    <x v="1"/>
    <s v="Professional"/>
    <s v="No"/>
    <n v="3"/>
    <x v="3"/>
    <x v="2"/>
    <x v="20"/>
    <x v="0"/>
    <x v="0"/>
  </r>
  <r>
    <n v="18976"/>
    <x v="1"/>
    <x v="1"/>
    <n v="40000"/>
    <n v="4"/>
    <x v="2"/>
    <s v="Professional"/>
    <s v="Yes"/>
    <n v="2"/>
    <x v="4"/>
    <x v="2"/>
    <x v="24"/>
    <x v="2"/>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2"/>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1"/>
    <x v="0"/>
  </r>
  <r>
    <n v="13233"/>
    <x v="0"/>
    <x v="1"/>
    <n v="60000"/>
    <n v="2"/>
    <x v="1"/>
    <s v="Professional"/>
    <s v="Yes"/>
    <n v="1"/>
    <x v="4"/>
    <x v="2"/>
    <x v="42"/>
    <x v="0"/>
    <x v="1"/>
  </r>
  <r>
    <n v="25909"/>
    <x v="0"/>
    <x v="1"/>
    <n v="60000"/>
    <n v="0"/>
    <x v="1"/>
    <s v="Skilled Manual"/>
    <s v="Yes"/>
    <n v="1"/>
    <x v="2"/>
    <x v="2"/>
    <x v="40"/>
    <x v="1"/>
    <x v="1"/>
  </r>
  <r>
    <n v="14092"/>
    <x v="1"/>
    <x v="1"/>
    <n v="30000"/>
    <n v="0"/>
    <x v="3"/>
    <s v="Clerical"/>
    <s v="Yes"/>
    <n v="2"/>
    <x v="2"/>
    <x v="2"/>
    <x v="26"/>
    <x v="1"/>
    <x v="0"/>
  </r>
  <r>
    <n v="29143"/>
    <x v="1"/>
    <x v="0"/>
    <n v="60000"/>
    <n v="1"/>
    <x v="0"/>
    <s v="Professional"/>
    <s v="No"/>
    <n v="1"/>
    <x v="0"/>
    <x v="2"/>
    <x v="20"/>
    <x v="0"/>
    <x v="1"/>
  </r>
  <r>
    <n v="24941"/>
    <x v="0"/>
    <x v="1"/>
    <n v="60000"/>
    <n v="3"/>
    <x v="0"/>
    <s v="Management"/>
    <s v="Yes"/>
    <n v="2"/>
    <x v="4"/>
    <x v="2"/>
    <x v="29"/>
    <x v="2"/>
    <x v="0"/>
  </r>
  <r>
    <n v="24637"/>
    <x v="0"/>
    <x v="1"/>
    <n v="40000"/>
    <n v="4"/>
    <x v="2"/>
    <s v="Professional"/>
    <s v="Yes"/>
    <n v="2"/>
    <x v="4"/>
    <x v="2"/>
    <x v="46"/>
    <x v="2"/>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1"/>
    <x v="0"/>
  </r>
  <r>
    <n v="11143"/>
    <x v="0"/>
    <x v="1"/>
    <n v="40000"/>
    <n v="0"/>
    <x v="2"/>
    <s v="Skilled Manual"/>
    <s v="Yes"/>
    <n v="2"/>
    <x v="2"/>
    <x v="2"/>
    <x v="19"/>
    <x v="1"/>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1"/>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2"/>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1"/>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1"/>
    <x v="0"/>
  </r>
  <r>
    <n v="17369"/>
    <x v="1"/>
    <x v="1"/>
    <n v="30000"/>
    <n v="0"/>
    <x v="1"/>
    <s v="Skilled Manual"/>
    <s v="Yes"/>
    <n v="1"/>
    <x v="2"/>
    <x v="2"/>
    <x v="40"/>
    <x v="1"/>
    <x v="0"/>
  </r>
  <r>
    <n v="14495"/>
    <x v="0"/>
    <x v="1"/>
    <n v="40000"/>
    <n v="3"/>
    <x v="1"/>
    <s v="Professional"/>
    <s v="No"/>
    <n v="2"/>
    <x v="2"/>
    <x v="2"/>
    <x v="9"/>
    <x v="0"/>
    <x v="1"/>
  </r>
  <r>
    <n v="18847"/>
    <x v="0"/>
    <x v="0"/>
    <n v="60000"/>
    <n v="2"/>
    <x v="4"/>
    <s v="Management"/>
    <s v="Yes"/>
    <n v="2"/>
    <x v="2"/>
    <x v="2"/>
    <x v="43"/>
    <x v="2"/>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2"/>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1"/>
    <x v="0"/>
  </r>
  <r>
    <n v="21751"/>
    <x v="0"/>
    <x v="1"/>
    <n v="60000"/>
    <n v="3"/>
    <x v="4"/>
    <s v="Management"/>
    <s v="Yes"/>
    <n v="2"/>
    <x v="3"/>
    <x v="2"/>
    <x v="18"/>
    <x v="2"/>
    <x v="0"/>
  </r>
  <r>
    <n v="21266"/>
    <x v="1"/>
    <x v="0"/>
    <n v="80000"/>
    <n v="0"/>
    <x v="0"/>
    <s v="Management"/>
    <s v="Yes"/>
    <n v="1"/>
    <x v="3"/>
    <x v="2"/>
    <x v="17"/>
    <x v="1"/>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0"/>
    <x v="0"/>
  </r>
  <r>
    <n v="25329"/>
    <x v="1"/>
    <x v="0"/>
    <n v="40000"/>
    <n v="3"/>
    <x v="1"/>
    <s v="Clerical"/>
    <s v="No"/>
    <n v="2"/>
    <x v="0"/>
    <x v="2"/>
    <x v="21"/>
    <x v="1"/>
    <x v="0"/>
  </r>
  <r>
    <n v="20380"/>
    <x v="0"/>
    <x v="0"/>
    <n v="60000"/>
    <n v="3"/>
    <x v="4"/>
    <s v="Management"/>
    <s v="Yes"/>
    <n v="2"/>
    <x v="4"/>
    <x v="2"/>
    <x v="45"/>
    <x v="2"/>
    <x v="0"/>
  </r>
  <r>
    <n v="23089"/>
    <x v="0"/>
    <x v="1"/>
    <n v="40000"/>
    <n v="0"/>
    <x v="1"/>
    <s v="Skilled Manual"/>
    <s v="Yes"/>
    <n v="1"/>
    <x v="2"/>
    <x v="2"/>
    <x v="26"/>
    <x v="1"/>
    <x v="0"/>
  </r>
  <r>
    <n v="13749"/>
    <x v="0"/>
    <x v="1"/>
    <n v="80000"/>
    <n v="4"/>
    <x v="4"/>
    <s v="Skilled Manual"/>
    <s v="Yes"/>
    <n v="0"/>
    <x v="3"/>
    <x v="2"/>
    <x v="15"/>
    <x v="0"/>
    <x v="0"/>
  </r>
  <r>
    <n v="24943"/>
    <x v="0"/>
    <x v="1"/>
    <n v="60000"/>
    <n v="3"/>
    <x v="0"/>
    <s v="Management"/>
    <s v="Yes"/>
    <n v="2"/>
    <x v="4"/>
    <x v="2"/>
    <x v="29"/>
    <x v="2"/>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1"/>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2"/>
    <x v="0"/>
  </r>
  <r>
    <n v="18058"/>
    <x v="1"/>
    <x v="0"/>
    <n v="20000"/>
    <n v="3"/>
    <x v="2"/>
    <s v="Skilled Manual"/>
    <s v="Yes"/>
    <n v="2"/>
    <x v="1"/>
    <x v="2"/>
    <x v="44"/>
    <x v="2"/>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1"/>
    <x v="1"/>
  </r>
  <r>
    <n v="25261"/>
    <x v="0"/>
    <x v="1"/>
    <n v="40000"/>
    <n v="0"/>
    <x v="2"/>
    <s v="Skilled Manual"/>
    <s v="Yes"/>
    <n v="2"/>
    <x v="2"/>
    <x v="2"/>
    <x v="40"/>
    <x v="1"/>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1"/>
    <x v="1"/>
  </r>
  <r>
    <n v="22983"/>
    <x v="1"/>
    <x v="0"/>
    <n v="30000"/>
    <n v="0"/>
    <x v="3"/>
    <s v="Clerical"/>
    <s v="Yes"/>
    <n v="2"/>
    <x v="2"/>
    <x v="2"/>
    <x v="40"/>
    <x v="1"/>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1"/>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2"/>
    <x v="0"/>
  </r>
  <r>
    <n v="20414"/>
    <x v="0"/>
    <x v="0"/>
    <n v="60000"/>
    <n v="0"/>
    <x v="1"/>
    <s v="Skilled Manual"/>
    <s v="Yes"/>
    <n v="2"/>
    <x v="2"/>
    <x v="2"/>
    <x v="19"/>
    <x v="1"/>
    <x v="0"/>
  </r>
  <r>
    <n v="23672"/>
    <x v="0"/>
    <x v="0"/>
    <n v="60000"/>
    <n v="3"/>
    <x v="4"/>
    <s v="Management"/>
    <s v="Yes"/>
    <n v="2"/>
    <x v="3"/>
    <x v="2"/>
    <x v="41"/>
    <x v="2"/>
    <x v="0"/>
  </r>
  <r>
    <n v="29255"/>
    <x v="1"/>
    <x v="1"/>
    <n v="80000"/>
    <n v="3"/>
    <x v="1"/>
    <s v="Professional"/>
    <s v="No"/>
    <n v="1"/>
    <x v="3"/>
    <x v="2"/>
    <x v="36"/>
    <x v="0"/>
    <x v="1"/>
  </r>
  <r>
    <n v="28815"/>
    <x v="0"/>
    <x v="0"/>
    <n v="50000"/>
    <n v="1"/>
    <x v="4"/>
    <s v="Skilled Manual"/>
    <s v="Yes"/>
    <n v="0"/>
    <x v="0"/>
    <x v="2"/>
    <x v="11"/>
    <x v="1"/>
    <x v="0"/>
  </r>
  <r>
    <n v="27753"/>
    <x v="0"/>
    <x v="1"/>
    <n v="40000"/>
    <n v="0"/>
    <x v="2"/>
    <s v="Skilled Manual"/>
    <s v="No"/>
    <n v="2"/>
    <x v="3"/>
    <x v="2"/>
    <x v="25"/>
    <x v="1"/>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2"/>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2"/>
    <x v="1"/>
  </r>
  <r>
    <n v="14507"/>
    <x v="0"/>
    <x v="1"/>
    <n v="100000"/>
    <n v="2"/>
    <x v="4"/>
    <s v="Management"/>
    <s v="Yes"/>
    <n v="3"/>
    <x v="3"/>
    <x v="2"/>
    <x v="27"/>
    <x v="2"/>
    <x v="0"/>
  </r>
  <r>
    <n v="25886"/>
    <x v="0"/>
    <x v="0"/>
    <n v="60000"/>
    <n v="2"/>
    <x v="1"/>
    <s v="Professional"/>
    <s v="Yes"/>
    <n v="2"/>
    <x v="1"/>
    <x v="2"/>
    <x v="16"/>
    <x v="0"/>
    <x v="1"/>
  </r>
  <r>
    <n v="21441"/>
    <x v="0"/>
    <x v="1"/>
    <n v="50000"/>
    <n v="4"/>
    <x v="0"/>
    <s v="Management"/>
    <s v="Yes"/>
    <n v="2"/>
    <x v="4"/>
    <x v="2"/>
    <x v="46"/>
    <x v="2"/>
    <x v="0"/>
  </r>
  <r>
    <n v="21741"/>
    <x v="0"/>
    <x v="0"/>
    <n v="70000"/>
    <n v="3"/>
    <x v="1"/>
    <s v="Professional"/>
    <s v="Yes"/>
    <n v="2"/>
    <x v="2"/>
    <x v="2"/>
    <x v="5"/>
    <x v="0"/>
    <x v="1"/>
  </r>
  <r>
    <n v="14572"/>
    <x v="0"/>
    <x v="0"/>
    <n v="70000"/>
    <n v="3"/>
    <x v="4"/>
    <s v="Professional"/>
    <s v="Yes"/>
    <n v="0"/>
    <x v="1"/>
    <x v="2"/>
    <x v="11"/>
    <x v="1"/>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1"/>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2"/>
    <x v="1"/>
  </r>
  <r>
    <n v="14284"/>
    <x v="1"/>
    <x v="1"/>
    <n v="60000"/>
    <n v="0"/>
    <x v="1"/>
    <s v="Professional"/>
    <s v="No"/>
    <n v="2"/>
    <x v="3"/>
    <x v="2"/>
    <x v="21"/>
    <x v="1"/>
    <x v="1"/>
  </r>
  <r>
    <n v="11287"/>
    <x v="0"/>
    <x v="1"/>
    <n v="70000"/>
    <n v="5"/>
    <x v="1"/>
    <s v="Professional"/>
    <s v="No"/>
    <n v="3"/>
    <x v="2"/>
    <x v="2"/>
    <x v="12"/>
    <x v="0"/>
    <x v="0"/>
  </r>
  <r>
    <n v="13066"/>
    <x v="1"/>
    <x v="1"/>
    <n v="30000"/>
    <n v="0"/>
    <x v="2"/>
    <s v="Skilled Manual"/>
    <s v="No"/>
    <n v="2"/>
    <x v="3"/>
    <x v="2"/>
    <x v="23"/>
    <x v="1"/>
    <x v="1"/>
  </r>
  <r>
    <n v="29106"/>
    <x v="1"/>
    <x v="1"/>
    <n v="40000"/>
    <n v="0"/>
    <x v="2"/>
    <s v="Skilled Manual"/>
    <s v="No"/>
    <n v="2"/>
    <x v="3"/>
    <x v="2"/>
    <x v="23"/>
    <x v="1"/>
    <x v="1"/>
  </r>
  <r>
    <n v="26236"/>
    <x v="0"/>
    <x v="0"/>
    <n v="40000"/>
    <n v="3"/>
    <x v="1"/>
    <s v="Clerical"/>
    <s v="Yes"/>
    <n v="1"/>
    <x v="0"/>
    <x v="2"/>
    <x v="23"/>
    <x v="1"/>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1"/>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2"/>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1"/>
    <x v="0"/>
  </r>
  <r>
    <n v="11817"/>
    <x v="1"/>
    <x v="0"/>
    <n v="70000"/>
    <n v="4"/>
    <x v="4"/>
    <s v="Professional"/>
    <s v="Yes"/>
    <n v="0"/>
    <x v="1"/>
    <x v="2"/>
    <x v="11"/>
    <x v="1"/>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2"/>
    <x v="0"/>
  </r>
  <r>
    <n v="21770"/>
    <x v="0"/>
    <x v="1"/>
    <n v="60000"/>
    <n v="4"/>
    <x v="0"/>
    <s v="Management"/>
    <s v="Yes"/>
    <n v="2"/>
    <x v="4"/>
    <x v="2"/>
    <x v="2"/>
    <x v="0"/>
    <x v="0"/>
  </r>
  <r>
    <n v="11165"/>
    <x v="0"/>
    <x v="0"/>
    <n v="60000"/>
    <n v="0"/>
    <x v="1"/>
    <s v="Skilled Manual"/>
    <s v="No"/>
    <n v="1"/>
    <x v="3"/>
    <x v="2"/>
    <x v="6"/>
    <x v="1"/>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1"/>
    <x v="0"/>
  </r>
  <r>
    <n v="16725"/>
    <x v="0"/>
    <x v="1"/>
    <n v="30000"/>
    <n v="0"/>
    <x v="2"/>
    <s v="Skilled Manual"/>
    <s v="Yes"/>
    <n v="2"/>
    <x v="2"/>
    <x v="2"/>
    <x v="22"/>
    <x v="1"/>
    <x v="0"/>
  </r>
  <r>
    <n v="28269"/>
    <x v="1"/>
    <x v="0"/>
    <n v="130000"/>
    <n v="1"/>
    <x v="0"/>
    <s v="Management"/>
    <s v="No"/>
    <n v="1"/>
    <x v="1"/>
    <x v="2"/>
    <x v="12"/>
    <x v="0"/>
    <x v="0"/>
  </r>
  <r>
    <n v="23144"/>
    <x v="0"/>
    <x v="1"/>
    <n v="50000"/>
    <n v="1"/>
    <x v="0"/>
    <s v="Skilled Manual"/>
    <s v="Yes"/>
    <n v="0"/>
    <x v="0"/>
    <x v="2"/>
    <x v="17"/>
    <x v="1"/>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1"/>
    <x v="0"/>
  </r>
  <r>
    <n v="14090"/>
    <x v="0"/>
    <x v="0"/>
    <n v="30000"/>
    <n v="0"/>
    <x v="3"/>
    <s v="Clerical"/>
    <s v="No"/>
    <n v="2"/>
    <x v="0"/>
    <x v="2"/>
    <x v="26"/>
    <x v="1"/>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1"/>
    <x v="0"/>
  </r>
  <r>
    <n v="13314"/>
    <x v="0"/>
    <x v="1"/>
    <n v="120000"/>
    <n v="1"/>
    <x v="2"/>
    <s v="Professional"/>
    <s v="Yes"/>
    <n v="4"/>
    <x v="2"/>
    <x v="2"/>
    <x v="30"/>
    <x v="0"/>
    <x v="1"/>
  </r>
  <r>
    <n v="11619"/>
    <x v="1"/>
    <x v="0"/>
    <n v="50000"/>
    <n v="0"/>
    <x v="4"/>
    <s v="Skilled Manual"/>
    <s v="Yes"/>
    <n v="0"/>
    <x v="3"/>
    <x v="2"/>
    <x v="6"/>
    <x v="1"/>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1"/>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1"/>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1"/>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1"/>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1"/>
    <x v="0"/>
  </r>
  <r>
    <n v="14913"/>
    <x v="0"/>
    <x v="0"/>
    <n v="40000"/>
    <n v="1"/>
    <x v="1"/>
    <s v="Clerical"/>
    <s v="Yes"/>
    <n v="1"/>
    <x v="3"/>
    <x v="2"/>
    <x v="28"/>
    <x v="0"/>
    <x v="1"/>
  </r>
  <r>
    <n v="14077"/>
    <x v="1"/>
    <x v="1"/>
    <n v="30000"/>
    <n v="0"/>
    <x v="2"/>
    <s v="Skilled Manual"/>
    <s v="Yes"/>
    <n v="2"/>
    <x v="2"/>
    <x v="2"/>
    <x v="25"/>
    <x v="1"/>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2"/>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1"/>
    <x v="0"/>
  </r>
  <r>
    <n v="28087"/>
    <x v="1"/>
    <x v="0"/>
    <n v="40000"/>
    <n v="0"/>
    <x v="1"/>
    <s v="Skilled Manual"/>
    <s v="No"/>
    <n v="1"/>
    <x v="3"/>
    <x v="2"/>
    <x v="40"/>
    <x v="1"/>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1"/>
    <x v="0"/>
  </r>
  <r>
    <n v="16753"/>
    <x v="1"/>
    <x v="0"/>
    <n v="70000"/>
    <n v="0"/>
    <x v="1"/>
    <s v="Skilled Manual"/>
    <s v="Yes"/>
    <n v="2"/>
    <x v="2"/>
    <x v="2"/>
    <x v="17"/>
    <x v="1"/>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1"/>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1"/>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1"/>
    <x v="1"/>
  </r>
  <r>
    <n v="15468"/>
    <x v="0"/>
    <x v="0"/>
    <n v="50000"/>
    <n v="1"/>
    <x v="0"/>
    <s v="Skilled Manual"/>
    <s v="Yes"/>
    <n v="1"/>
    <x v="0"/>
    <x v="2"/>
    <x v="11"/>
    <x v="1"/>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1"/>
    <x v="1"/>
  </r>
  <r>
    <n v="23256"/>
    <x v="1"/>
    <x v="1"/>
    <n v="30000"/>
    <n v="1"/>
    <x v="2"/>
    <s v="Clerical"/>
    <s v="No"/>
    <n v="1"/>
    <x v="2"/>
    <x v="2"/>
    <x v="31"/>
    <x v="0"/>
    <x v="0"/>
  </r>
  <r>
    <n v="12768"/>
    <x v="0"/>
    <x v="1"/>
    <n v="30000"/>
    <n v="1"/>
    <x v="2"/>
    <s v="Clerical"/>
    <s v="Yes"/>
    <n v="1"/>
    <x v="1"/>
    <x v="2"/>
    <x v="31"/>
    <x v="0"/>
    <x v="1"/>
  </r>
  <r>
    <n v="20361"/>
    <x v="0"/>
    <x v="1"/>
    <n v="50000"/>
    <n v="2"/>
    <x v="4"/>
    <s v="Management"/>
    <s v="Yes"/>
    <n v="2"/>
    <x v="2"/>
    <x v="2"/>
    <x v="45"/>
    <x v="2"/>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1"/>
    <x v="1"/>
  </r>
  <r>
    <n v="22971"/>
    <x v="1"/>
    <x v="0"/>
    <n v="30000"/>
    <n v="0"/>
    <x v="2"/>
    <s v="Skilled Manual"/>
    <s v="No"/>
    <n v="2"/>
    <x v="0"/>
    <x v="2"/>
    <x v="37"/>
    <x v="1"/>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2"/>
    <x v="0"/>
  </r>
  <r>
    <n v="28090"/>
    <x v="0"/>
    <x v="1"/>
    <n v="40000"/>
    <n v="0"/>
    <x v="1"/>
    <s v="Skilled Manual"/>
    <s v="Yes"/>
    <n v="1"/>
    <x v="2"/>
    <x v="2"/>
    <x v="40"/>
    <x v="1"/>
    <x v="0"/>
  </r>
  <r>
    <n v="15255"/>
    <x v="0"/>
    <x v="1"/>
    <n v="40000"/>
    <n v="0"/>
    <x v="2"/>
    <s v="Skilled Manual"/>
    <s v="Yes"/>
    <n v="2"/>
    <x v="2"/>
    <x v="2"/>
    <x v="26"/>
    <x v="1"/>
    <x v="1"/>
  </r>
  <r>
    <n v="13154"/>
    <x v="0"/>
    <x v="1"/>
    <n v="40000"/>
    <n v="0"/>
    <x v="2"/>
    <s v="Skilled Manual"/>
    <s v="No"/>
    <n v="2"/>
    <x v="0"/>
    <x v="2"/>
    <x v="40"/>
    <x v="1"/>
    <x v="1"/>
  </r>
  <r>
    <n v="26778"/>
    <x v="1"/>
    <x v="0"/>
    <n v="40000"/>
    <n v="0"/>
    <x v="2"/>
    <s v="Skilled Manual"/>
    <s v="Yes"/>
    <n v="2"/>
    <x v="2"/>
    <x v="2"/>
    <x v="23"/>
    <x v="1"/>
    <x v="0"/>
  </r>
  <r>
    <n v="23248"/>
    <x v="0"/>
    <x v="0"/>
    <n v="10000"/>
    <n v="2"/>
    <x v="2"/>
    <s v="Manual"/>
    <s v="Yes"/>
    <n v="2"/>
    <x v="3"/>
    <x v="2"/>
    <x v="39"/>
    <x v="0"/>
    <x v="0"/>
  </r>
  <r>
    <n v="21417"/>
    <x v="1"/>
    <x v="0"/>
    <n v="60000"/>
    <n v="0"/>
    <x v="1"/>
    <s v="Professional"/>
    <s v="No"/>
    <n v="2"/>
    <x v="3"/>
    <x v="2"/>
    <x v="21"/>
    <x v="1"/>
    <x v="1"/>
  </r>
  <r>
    <n v="17668"/>
    <x v="1"/>
    <x v="1"/>
    <n v="30000"/>
    <n v="2"/>
    <x v="2"/>
    <s v="Skilled Manual"/>
    <s v="Yes"/>
    <n v="2"/>
    <x v="3"/>
    <x v="2"/>
    <x v="5"/>
    <x v="0"/>
    <x v="1"/>
  </r>
  <r>
    <n v="27994"/>
    <x v="0"/>
    <x v="0"/>
    <n v="40000"/>
    <n v="4"/>
    <x v="2"/>
    <s v="Professional"/>
    <s v="Yes"/>
    <n v="2"/>
    <x v="2"/>
    <x v="2"/>
    <x v="45"/>
    <x v="2"/>
    <x v="0"/>
  </r>
  <r>
    <n v="20376"/>
    <x v="1"/>
    <x v="0"/>
    <n v="70000"/>
    <n v="3"/>
    <x v="4"/>
    <s v="Management"/>
    <s v="Yes"/>
    <n v="2"/>
    <x v="2"/>
    <x v="2"/>
    <x v="31"/>
    <x v="0"/>
    <x v="1"/>
  </r>
  <r>
    <n v="25954"/>
    <x v="0"/>
    <x v="1"/>
    <n v="60000"/>
    <n v="0"/>
    <x v="1"/>
    <s v="Skilled Manual"/>
    <s v="No"/>
    <n v="2"/>
    <x v="3"/>
    <x v="2"/>
    <x v="23"/>
    <x v="1"/>
    <x v="0"/>
  </r>
  <r>
    <n v="15749"/>
    <x v="1"/>
    <x v="0"/>
    <n v="70000"/>
    <n v="4"/>
    <x v="0"/>
    <s v="Management"/>
    <s v="Yes"/>
    <n v="2"/>
    <x v="4"/>
    <x v="2"/>
    <x v="33"/>
    <x v="2"/>
    <x v="0"/>
  </r>
  <r>
    <n v="25899"/>
    <x v="0"/>
    <x v="0"/>
    <n v="70000"/>
    <n v="2"/>
    <x v="2"/>
    <s v="Professional"/>
    <s v="Yes"/>
    <n v="2"/>
    <x v="4"/>
    <x v="2"/>
    <x v="39"/>
    <x v="0"/>
    <x v="0"/>
  </r>
  <r>
    <n v="13351"/>
    <x v="1"/>
    <x v="0"/>
    <n v="70000"/>
    <n v="4"/>
    <x v="0"/>
    <s v="Management"/>
    <s v="Yes"/>
    <n v="2"/>
    <x v="3"/>
    <x v="2"/>
    <x v="24"/>
    <x v="2"/>
    <x v="1"/>
  </r>
  <r>
    <n v="23333"/>
    <x v="0"/>
    <x v="1"/>
    <n v="40000"/>
    <n v="0"/>
    <x v="1"/>
    <s v="Skilled Manual"/>
    <s v="No"/>
    <n v="2"/>
    <x v="3"/>
    <x v="2"/>
    <x v="25"/>
    <x v="1"/>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1"/>
    <x v="0"/>
  </r>
  <r>
    <n v="27505"/>
    <x v="1"/>
    <x v="0"/>
    <n v="40000"/>
    <n v="0"/>
    <x v="2"/>
    <s v="Skilled Manual"/>
    <s v="Yes"/>
    <n v="2"/>
    <x v="2"/>
    <x v="2"/>
    <x v="25"/>
    <x v="1"/>
    <x v="0"/>
  </r>
  <r>
    <n v="29243"/>
    <x v="1"/>
    <x v="1"/>
    <n v="110000"/>
    <n v="1"/>
    <x v="0"/>
    <s v="Management"/>
    <s v="Yes"/>
    <n v="1"/>
    <x v="2"/>
    <x v="2"/>
    <x v="1"/>
    <x v="0"/>
    <x v="0"/>
  </r>
  <r>
    <n v="26582"/>
    <x v="0"/>
    <x v="1"/>
    <n v="60000"/>
    <n v="0"/>
    <x v="1"/>
    <s v="Skilled Manual"/>
    <s v="Yes"/>
    <n v="2"/>
    <x v="2"/>
    <x v="2"/>
    <x v="6"/>
    <x v="1"/>
    <x v="1"/>
  </r>
  <r>
    <n v="14271"/>
    <x v="0"/>
    <x v="1"/>
    <n v="30000"/>
    <n v="0"/>
    <x v="2"/>
    <s v="Skilled Manual"/>
    <s v="Yes"/>
    <n v="2"/>
    <x v="2"/>
    <x v="2"/>
    <x v="21"/>
    <x v="1"/>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2"/>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2"/>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1"/>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2"/>
    <x v="0"/>
  </r>
  <r>
    <n v="16751"/>
    <x v="0"/>
    <x v="1"/>
    <n v="60000"/>
    <n v="0"/>
    <x v="1"/>
    <s v="Skilled Manual"/>
    <s v="Yes"/>
    <n v="1"/>
    <x v="2"/>
    <x v="2"/>
    <x v="21"/>
    <x v="1"/>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1"/>
    <x v="0"/>
  </r>
  <r>
    <n v="18347"/>
    <x v="1"/>
    <x v="0"/>
    <n v="30000"/>
    <n v="0"/>
    <x v="1"/>
    <s v="Skilled Manual"/>
    <s v="No"/>
    <n v="1"/>
    <x v="3"/>
    <x v="2"/>
    <x v="23"/>
    <x v="1"/>
    <x v="0"/>
  </r>
  <r>
    <n v="29052"/>
    <x v="1"/>
    <x v="1"/>
    <n v="40000"/>
    <n v="0"/>
    <x v="1"/>
    <s v="Skilled Manual"/>
    <s v="Yes"/>
    <n v="1"/>
    <x v="2"/>
    <x v="2"/>
    <x v="40"/>
    <x v="1"/>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1"/>
    <x v="0"/>
  </r>
  <r>
    <n v="13714"/>
    <x v="0"/>
    <x v="0"/>
    <n v="20000"/>
    <n v="2"/>
    <x v="2"/>
    <s v="Manual"/>
    <s v="No"/>
    <n v="2"/>
    <x v="3"/>
    <x v="2"/>
    <x v="39"/>
    <x v="0"/>
    <x v="1"/>
  </r>
  <r>
    <n v="22330"/>
    <x v="0"/>
    <x v="1"/>
    <n v="50000"/>
    <n v="0"/>
    <x v="4"/>
    <s v="Skilled Manual"/>
    <s v="Yes"/>
    <n v="0"/>
    <x v="3"/>
    <x v="2"/>
    <x v="21"/>
    <x v="1"/>
    <x v="1"/>
  </r>
  <r>
    <n v="18783"/>
    <x v="1"/>
    <x v="1"/>
    <n v="80000"/>
    <n v="0"/>
    <x v="0"/>
    <s v="Management"/>
    <s v="No"/>
    <n v="1"/>
    <x v="0"/>
    <x v="2"/>
    <x v="13"/>
    <x v="0"/>
    <x v="1"/>
  </r>
  <r>
    <n v="25041"/>
    <x v="1"/>
    <x v="1"/>
    <n v="40000"/>
    <n v="0"/>
    <x v="2"/>
    <s v="Skilled Manual"/>
    <s v="Yes"/>
    <n v="2"/>
    <x v="2"/>
    <x v="2"/>
    <x v="23"/>
    <x v="1"/>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0"/>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1"/>
    <x v="0"/>
  </r>
  <r>
    <n v="15879"/>
    <x v="0"/>
    <x v="1"/>
    <n v="70000"/>
    <n v="5"/>
    <x v="0"/>
    <s v="Management"/>
    <s v="Yes"/>
    <n v="2"/>
    <x v="1"/>
    <x v="2"/>
    <x v="33"/>
    <x v="2"/>
    <x v="0"/>
  </r>
  <r>
    <n v="28278"/>
    <x v="0"/>
    <x v="1"/>
    <n v="50000"/>
    <n v="2"/>
    <x v="4"/>
    <s v="Management"/>
    <s v="Yes"/>
    <n v="2"/>
    <x v="2"/>
    <x v="2"/>
    <x v="51"/>
    <x v="2"/>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2"/>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0"/>
    <x v="0"/>
  </r>
  <r>
    <n v="11807"/>
    <x v="0"/>
    <x v="1"/>
    <n v="70000"/>
    <n v="3"/>
    <x v="4"/>
    <s v="Professional"/>
    <s v="Yes"/>
    <n v="0"/>
    <x v="1"/>
    <x v="2"/>
    <x v="17"/>
    <x v="1"/>
    <x v="0"/>
  </r>
  <r>
    <n v="11622"/>
    <x v="0"/>
    <x v="1"/>
    <n v="50000"/>
    <n v="0"/>
    <x v="4"/>
    <s v="Skilled Manual"/>
    <s v="Yes"/>
    <n v="0"/>
    <x v="0"/>
    <x v="2"/>
    <x v="21"/>
    <x v="1"/>
    <x v="0"/>
  </r>
  <r>
    <n v="26597"/>
    <x v="1"/>
    <x v="0"/>
    <n v="60000"/>
    <n v="4"/>
    <x v="0"/>
    <s v="Skilled Manual"/>
    <s v="No"/>
    <n v="2"/>
    <x v="0"/>
    <x v="2"/>
    <x v="0"/>
    <x v="0"/>
    <x v="0"/>
  </r>
  <r>
    <n v="27074"/>
    <x v="0"/>
    <x v="0"/>
    <n v="70000"/>
    <n v="1"/>
    <x v="4"/>
    <s v="Skilled Manual"/>
    <s v="Yes"/>
    <n v="0"/>
    <x v="0"/>
    <x v="2"/>
    <x v="11"/>
    <x v="1"/>
    <x v="1"/>
  </r>
  <r>
    <n v="19228"/>
    <x v="0"/>
    <x v="0"/>
    <n v="40000"/>
    <n v="2"/>
    <x v="1"/>
    <s v="Clerical"/>
    <s v="Yes"/>
    <n v="1"/>
    <x v="0"/>
    <x v="2"/>
    <x v="28"/>
    <x v="0"/>
    <x v="0"/>
  </r>
  <r>
    <n v="13415"/>
    <x v="1"/>
    <x v="1"/>
    <n v="100000"/>
    <n v="1"/>
    <x v="4"/>
    <s v="Management"/>
    <s v="Yes"/>
    <n v="3"/>
    <x v="1"/>
    <x v="2"/>
    <x v="49"/>
    <x v="2"/>
    <x v="1"/>
  </r>
  <r>
    <n v="17000"/>
    <x v="1"/>
    <x v="0"/>
    <n v="70000"/>
    <n v="4"/>
    <x v="0"/>
    <s v="Skilled Manual"/>
    <s v="Yes"/>
    <n v="2"/>
    <x v="1"/>
    <x v="2"/>
    <x v="1"/>
    <x v="0"/>
    <x v="1"/>
  </r>
  <r>
    <n v="14569"/>
    <x v="0"/>
    <x v="1"/>
    <n v="60000"/>
    <n v="1"/>
    <x v="4"/>
    <s v="Professional"/>
    <s v="Yes"/>
    <n v="0"/>
    <x v="0"/>
    <x v="2"/>
    <x v="11"/>
    <x v="1"/>
    <x v="0"/>
  </r>
  <r>
    <n v="13873"/>
    <x v="0"/>
    <x v="1"/>
    <n v="70000"/>
    <n v="3"/>
    <x v="4"/>
    <s v="Professional"/>
    <s v="Yes"/>
    <n v="0"/>
    <x v="0"/>
    <x v="2"/>
    <x v="11"/>
    <x v="1"/>
    <x v="1"/>
  </r>
  <r>
    <n v="20401"/>
    <x v="0"/>
    <x v="0"/>
    <n v="50000"/>
    <n v="4"/>
    <x v="0"/>
    <s v="Management"/>
    <s v="Yes"/>
    <n v="2"/>
    <x v="3"/>
    <x v="2"/>
    <x v="46"/>
    <x v="2"/>
    <x v="1"/>
  </r>
  <r>
    <n v="21583"/>
    <x v="0"/>
    <x v="0"/>
    <n v="50000"/>
    <n v="1"/>
    <x v="0"/>
    <s v="Skilled Manual"/>
    <s v="Yes"/>
    <n v="0"/>
    <x v="0"/>
    <x v="2"/>
    <x v="17"/>
    <x v="1"/>
    <x v="1"/>
  </r>
  <r>
    <n v="12029"/>
    <x v="0"/>
    <x v="1"/>
    <n v="30000"/>
    <n v="0"/>
    <x v="3"/>
    <s v="Clerical"/>
    <s v="No"/>
    <n v="2"/>
    <x v="0"/>
    <x v="2"/>
    <x v="26"/>
    <x v="1"/>
    <x v="0"/>
  </r>
  <r>
    <n v="18066"/>
    <x v="1"/>
    <x v="1"/>
    <n v="70000"/>
    <n v="5"/>
    <x v="0"/>
    <s v="Management"/>
    <s v="Yes"/>
    <n v="3"/>
    <x v="4"/>
    <x v="2"/>
    <x v="2"/>
    <x v="0"/>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2"/>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2"/>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2"/>
    <x v="0"/>
  </r>
  <r>
    <n v="27190"/>
    <x v="0"/>
    <x v="0"/>
    <n v="40000"/>
    <n v="3"/>
    <x v="1"/>
    <s v="Clerical"/>
    <s v="Yes"/>
    <n v="1"/>
    <x v="3"/>
    <x v="2"/>
    <x v="21"/>
    <x v="1"/>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2"/>
    <x v="0"/>
  </r>
  <r>
    <n v="27273"/>
    <x v="1"/>
    <x v="1"/>
    <n v="70000"/>
    <n v="3"/>
    <x v="4"/>
    <s v="Professional"/>
    <s v="No"/>
    <n v="0"/>
    <x v="0"/>
    <x v="2"/>
    <x v="11"/>
    <x v="1"/>
    <x v="1"/>
  </r>
  <r>
    <n v="22719"/>
    <x v="1"/>
    <x v="1"/>
    <n v="110000"/>
    <n v="3"/>
    <x v="0"/>
    <s v="Management"/>
    <s v="Yes"/>
    <n v="4"/>
    <x v="1"/>
    <x v="2"/>
    <x v="8"/>
    <x v="0"/>
    <x v="1"/>
  </r>
  <r>
    <n v="22042"/>
    <x v="0"/>
    <x v="0"/>
    <n v="70000"/>
    <n v="0"/>
    <x v="1"/>
    <s v="Skilled Manual"/>
    <s v="Yes"/>
    <n v="2"/>
    <x v="2"/>
    <x v="2"/>
    <x v="17"/>
    <x v="1"/>
    <x v="1"/>
  </r>
  <r>
    <n v="21451"/>
    <x v="0"/>
    <x v="0"/>
    <n v="40000"/>
    <n v="4"/>
    <x v="2"/>
    <s v="Professional"/>
    <s v="Yes"/>
    <n v="2"/>
    <x v="4"/>
    <x v="2"/>
    <x v="33"/>
    <x v="2"/>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1"/>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1"/>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1"/>
    <x v="0"/>
  </r>
  <r>
    <n v="23455"/>
    <x v="1"/>
    <x v="1"/>
    <n v="80000"/>
    <n v="2"/>
    <x v="3"/>
    <s v="Skilled Manual"/>
    <s v="No"/>
    <n v="2"/>
    <x v="3"/>
    <x v="2"/>
    <x v="5"/>
    <x v="0"/>
    <x v="0"/>
  </r>
  <r>
    <n v="15292"/>
    <x v="1"/>
    <x v="0"/>
    <n v="60000"/>
    <n v="1"/>
    <x v="4"/>
    <s v="Skilled Manual"/>
    <s v="Yes"/>
    <n v="0"/>
    <x v="3"/>
    <x v="2"/>
    <x v="11"/>
    <x v="1"/>
    <x v="0"/>
  </r>
  <r>
    <n v="21587"/>
    <x v="0"/>
    <x v="0"/>
    <n v="60000"/>
    <n v="1"/>
    <x v="4"/>
    <s v="Skilled Manual"/>
    <s v="Yes"/>
    <n v="0"/>
    <x v="1"/>
    <x v="2"/>
    <x v="17"/>
    <x v="1"/>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1"/>
    <x v="1"/>
  </r>
  <r>
    <n v="25419"/>
    <x v="1"/>
    <x v="1"/>
    <n v="50000"/>
    <n v="2"/>
    <x v="0"/>
    <s v="Skilled Manual"/>
    <s v="No"/>
    <n v="1"/>
    <x v="0"/>
    <x v="2"/>
    <x v="13"/>
    <x v="0"/>
    <x v="1"/>
  </r>
  <r>
    <n v="13343"/>
    <x v="0"/>
    <x v="0"/>
    <n v="90000"/>
    <n v="5"/>
    <x v="0"/>
    <s v="Management"/>
    <s v="Yes"/>
    <n v="2"/>
    <x v="3"/>
    <x v="2"/>
    <x v="18"/>
    <x v="2"/>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1"/>
    <x v="0"/>
  </r>
  <r>
    <n v="22296"/>
    <x v="0"/>
    <x v="1"/>
    <n v="70000"/>
    <n v="0"/>
    <x v="0"/>
    <s v="Professional"/>
    <s v="No"/>
    <n v="1"/>
    <x v="0"/>
    <x v="2"/>
    <x v="13"/>
    <x v="0"/>
    <x v="0"/>
  </r>
  <r>
    <n v="15319"/>
    <x v="0"/>
    <x v="0"/>
    <n v="70000"/>
    <n v="4"/>
    <x v="0"/>
    <s v="Management"/>
    <s v="No"/>
    <n v="1"/>
    <x v="3"/>
    <x v="2"/>
    <x v="14"/>
    <x v="0"/>
    <x v="0"/>
  </r>
  <r>
    <n v="17654"/>
    <x v="1"/>
    <x v="0"/>
    <n v="40000"/>
    <n v="3"/>
    <x v="1"/>
    <s v="Clerical"/>
    <s v="Yes"/>
    <n v="1"/>
    <x v="3"/>
    <x v="2"/>
    <x v="25"/>
    <x v="1"/>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1"/>
    <x v="1"/>
  </r>
  <r>
    <n v="13073"/>
    <x v="0"/>
    <x v="0"/>
    <n v="60000"/>
    <n v="0"/>
    <x v="1"/>
    <s v="Professional"/>
    <s v="Yes"/>
    <n v="2"/>
    <x v="2"/>
    <x v="2"/>
    <x v="25"/>
    <x v="1"/>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2"/>
    <x v="0"/>
  </r>
  <r>
    <n v="16813"/>
    <x v="0"/>
    <x v="1"/>
    <n v="60000"/>
    <n v="2"/>
    <x v="1"/>
    <s v="Professional"/>
    <s v="Yes"/>
    <n v="2"/>
    <x v="4"/>
    <x v="2"/>
    <x v="10"/>
    <x v="0"/>
    <x v="0"/>
  </r>
  <r>
    <n v="16007"/>
    <x v="0"/>
    <x v="0"/>
    <n v="90000"/>
    <n v="5"/>
    <x v="0"/>
    <s v="Management"/>
    <s v="Yes"/>
    <n v="2"/>
    <x v="3"/>
    <x v="2"/>
    <x v="29"/>
    <x v="2"/>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1"/>
    <x v="1"/>
  </r>
  <r>
    <n v="19012"/>
    <x v="0"/>
    <x v="1"/>
    <n v="80000"/>
    <n v="3"/>
    <x v="0"/>
    <s v="Management"/>
    <s v="Yes"/>
    <n v="1"/>
    <x v="3"/>
    <x v="2"/>
    <x v="16"/>
    <x v="0"/>
    <x v="0"/>
  </r>
  <r>
    <n v="18329"/>
    <x v="1"/>
    <x v="1"/>
    <n v="30000"/>
    <n v="0"/>
    <x v="3"/>
    <s v="Clerical"/>
    <s v="No"/>
    <n v="2"/>
    <x v="2"/>
    <x v="2"/>
    <x v="40"/>
    <x v="1"/>
    <x v="0"/>
  </r>
  <r>
    <n v="29037"/>
    <x v="0"/>
    <x v="1"/>
    <n v="60000"/>
    <n v="0"/>
    <x v="4"/>
    <s v="Professional"/>
    <s v="No"/>
    <n v="0"/>
    <x v="0"/>
    <x v="2"/>
    <x v="32"/>
    <x v="0"/>
    <x v="0"/>
  </r>
  <r>
    <n v="26576"/>
    <x v="0"/>
    <x v="0"/>
    <n v="60000"/>
    <n v="0"/>
    <x v="1"/>
    <s v="Skilled Manual"/>
    <s v="Yes"/>
    <n v="2"/>
    <x v="2"/>
    <x v="2"/>
    <x v="23"/>
    <x v="1"/>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1"/>
    <x v="1"/>
  </r>
  <r>
    <n v="28004"/>
    <x v="0"/>
    <x v="0"/>
    <n v="60000"/>
    <n v="3"/>
    <x v="0"/>
    <s v="Management"/>
    <s v="Yes"/>
    <n v="2"/>
    <x v="4"/>
    <x v="2"/>
    <x v="29"/>
    <x v="2"/>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1"/>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0"/>
    <x v="0"/>
  </r>
  <r>
    <n v="14332"/>
    <x v="1"/>
    <x v="0"/>
    <n v="30000"/>
    <n v="0"/>
    <x v="2"/>
    <s v="Skilled Manual"/>
    <s v="No"/>
    <n v="2"/>
    <x v="2"/>
    <x v="2"/>
    <x v="22"/>
    <x v="1"/>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1"/>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F30643-F84F-4BFE-8753-8A353C98CED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2"/>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A9C1F-0DFC-4E58-88AD-E2D4775DD29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9">
        <item m="1" x="5"/>
        <item x="0"/>
        <item m="1" x="6"/>
        <item m="1" x="7"/>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4"/>
    </i>
    <i>
      <x v="5"/>
    </i>
    <i>
      <x v="6"/>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CF065F-6E35-4F3C-9CA4-1B7BEAE29B6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77A01-EB18-482C-9494-C02035F732DB}"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2:D10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2"/>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F546442-0013-4370-9F2C-7A5DA6D5982F}" sourceName="Marital Status">
  <pivotTables>
    <pivotTable tabId="4" name="PivotTable3"/>
    <pivotTable tabId="4" name="PivotTable1"/>
    <pivotTable tabId="4" name="PivotTable2"/>
    <pivotTable tabId="4" name="PivotTable4"/>
  </pivotTables>
  <data>
    <tabular pivotCacheId="20047292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3A09E71-25D2-4FEB-8586-0C00DFBD096A}" sourceName="Education">
  <pivotTables>
    <pivotTable tabId="4" name="PivotTable1"/>
    <pivotTable tabId="4" name="PivotTable2"/>
    <pivotTable tabId="4" name="PivotTable3"/>
    <pivotTable tabId="4" name="PivotTable4"/>
  </pivotTables>
  <data>
    <tabular pivotCacheId="20047292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E18B32-55CD-4A45-8C68-EB6A16BF931F}" sourceName="Region">
  <pivotTables>
    <pivotTable tabId="4" name="PivotTable1"/>
    <pivotTable tabId="4" name="PivotTable2"/>
    <pivotTable tabId="4" name="PivotTable3"/>
    <pivotTable tabId="4" name="PivotTable4"/>
  </pivotTables>
  <data>
    <tabular pivotCacheId="200472927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22E126C-4764-49BD-A83B-562F0BBC1DBD}" cache="Slicer_Marital_Status" caption="Marital Status" rowHeight="241300"/>
  <slicer name="Education" xr10:uid="{498ECF3B-7E60-462B-AE17-6553051D2BC2}" cache="Slicer_Education" caption="Education" rowHeight="241300"/>
  <slicer name="Region" xr10:uid="{8DA05D6C-943B-4067-B210-9686E8773DD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3" sqref="F1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A2552-240C-4317-9A2B-B8A873E40C9A}">
  <dimension ref="A1:N1001"/>
  <sheetViews>
    <sheetView topLeftCell="B983" workbookViewId="0">
      <selection activeCell="J1" sqref="J1:J1048576"/>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IF(L2&lt;=12, "Child", IF(L2&lt;=19, "Teen", IF(L2&lt;=35, "Young Adult", IF(L2&lt;=60, "Adult", "Elderly"))))</f>
        <v>Adult</v>
      </c>
      <c r="N2" t="s">
        <v>18</v>
      </c>
    </row>
    <row r="3" spans="1:14" x14ac:dyDescent="0.35">
      <c r="A3">
        <v>24107</v>
      </c>
      <c r="B3" t="s">
        <v>36</v>
      </c>
      <c r="C3" t="s">
        <v>38</v>
      </c>
      <c r="D3" s="3">
        <v>30000</v>
      </c>
      <c r="E3">
        <v>3</v>
      </c>
      <c r="F3" t="s">
        <v>19</v>
      </c>
      <c r="G3" t="s">
        <v>20</v>
      </c>
      <c r="H3" t="s">
        <v>15</v>
      </c>
      <c r="I3">
        <v>1</v>
      </c>
      <c r="J3" t="s">
        <v>16</v>
      </c>
      <c r="K3" t="s">
        <v>17</v>
      </c>
      <c r="L3">
        <v>43</v>
      </c>
      <c r="M3" t="str">
        <f t="shared" ref="M3:M66" si="0">IF(L3&lt;=12, "Child", IF(L3&lt;=19, "Teen", IF(L3&lt;=35, "Young Adult", IF(L3&lt;=60, "Adult", "Elderly"))))</f>
        <v>Adult</v>
      </c>
      <c r="N3" t="s">
        <v>18</v>
      </c>
    </row>
    <row r="4" spans="1:14" x14ac:dyDescent="0.35">
      <c r="A4">
        <v>14177</v>
      </c>
      <c r="B4" t="s">
        <v>36</v>
      </c>
      <c r="C4" t="s">
        <v>38</v>
      </c>
      <c r="D4" s="3">
        <v>80000</v>
      </c>
      <c r="E4">
        <v>5</v>
      </c>
      <c r="F4" t="s">
        <v>19</v>
      </c>
      <c r="G4" t="s">
        <v>21</v>
      </c>
      <c r="H4" t="s">
        <v>18</v>
      </c>
      <c r="I4">
        <v>2</v>
      </c>
      <c r="J4" t="s">
        <v>22</v>
      </c>
      <c r="K4" t="s">
        <v>17</v>
      </c>
      <c r="L4">
        <v>60</v>
      </c>
      <c r="M4" t="str">
        <f t="shared" si="0"/>
        <v>Adult</v>
      </c>
      <c r="N4" t="s">
        <v>18</v>
      </c>
    </row>
    <row r="5" spans="1:14" x14ac:dyDescent="0.35">
      <c r="A5">
        <v>24381</v>
      </c>
      <c r="B5" t="s">
        <v>37</v>
      </c>
      <c r="C5" t="s">
        <v>38</v>
      </c>
      <c r="D5" s="3">
        <v>70000</v>
      </c>
      <c r="E5">
        <v>0</v>
      </c>
      <c r="F5" t="s">
        <v>13</v>
      </c>
      <c r="G5" t="s">
        <v>21</v>
      </c>
      <c r="H5" t="s">
        <v>15</v>
      </c>
      <c r="I5">
        <v>1</v>
      </c>
      <c r="J5" t="s">
        <v>23</v>
      </c>
      <c r="K5" t="s">
        <v>24</v>
      </c>
      <c r="L5">
        <v>41</v>
      </c>
      <c r="M5" t="str">
        <f t="shared" si="0"/>
        <v>Adult</v>
      </c>
      <c r="N5" t="s">
        <v>15</v>
      </c>
    </row>
    <row r="6" spans="1:14" x14ac:dyDescent="0.35">
      <c r="A6">
        <v>25597</v>
      </c>
      <c r="B6" t="s">
        <v>37</v>
      </c>
      <c r="C6" t="s">
        <v>38</v>
      </c>
      <c r="D6" s="3">
        <v>30000</v>
      </c>
      <c r="E6">
        <v>0</v>
      </c>
      <c r="F6" t="s">
        <v>13</v>
      </c>
      <c r="G6" t="s">
        <v>20</v>
      </c>
      <c r="H6" t="s">
        <v>18</v>
      </c>
      <c r="I6">
        <v>0</v>
      </c>
      <c r="J6" t="s">
        <v>16</v>
      </c>
      <c r="K6" t="s">
        <v>17</v>
      </c>
      <c r="L6">
        <v>36</v>
      </c>
      <c r="M6" t="str">
        <f t="shared" si="0"/>
        <v>Adult</v>
      </c>
      <c r="N6" t="s">
        <v>15</v>
      </c>
    </row>
    <row r="7" spans="1:14" x14ac:dyDescent="0.35">
      <c r="A7">
        <v>13507</v>
      </c>
      <c r="B7" t="s">
        <v>36</v>
      </c>
      <c r="C7" t="s">
        <v>39</v>
      </c>
      <c r="D7" s="3">
        <v>10000</v>
      </c>
      <c r="E7">
        <v>2</v>
      </c>
      <c r="F7" t="s">
        <v>19</v>
      </c>
      <c r="G7" t="s">
        <v>25</v>
      </c>
      <c r="H7" t="s">
        <v>15</v>
      </c>
      <c r="I7">
        <v>0</v>
      </c>
      <c r="J7" t="s">
        <v>26</v>
      </c>
      <c r="K7" t="s">
        <v>17</v>
      </c>
      <c r="L7">
        <v>50</v>
      </c>
      <c r="M7" t="str">
        <f t="shared" si="0"/>
        <v>Adult</v>
      </c>
      <c r="N7" t="s">
        <v>18</v>
      </c>
    </row>
    <row r="8" spans="1:14" x14ac:dyDescent="0.35">
      <c r="A8">
        <v>27974</v>
      </c>
      <c r="B8" t="s">
        <v>37</v>
      </c>
      <c r="C8" t="s">
        <v>38</v>
      </c>
      <c r="D8" s="3">
        <v>160000</v>
      </c>
      <c r="E8">
        <v>2</v>
      </c>
      <c r="F8" t="s">
        <v>27</v>
      </c>
      <c r="G8" t="s">
        <v>28</v>
      </c>
      <c r="H8" t="s">
        <v>15</v>
      </c>
      <c r="I8">
        <v>4</v>
      </c>
      <c r="J8" t="s">
        <v>16</v>
      </c>
      <c r="K8" t="s">
        <v>24</v>
      </c>
      <c r="L8">
        <v>33</v>
      </c>
      <c r="M8" t="str">
        <f t="shared" si="0"/>
        <v>Young Adult</v>
      </c>
      <c r="N8" t="s">
        <v>15</v>
      </c>
    </row>
    <row r="9" spans="1:14" x14ac:dyDescent="0.35">
      <c r="A9">
        <v>19364</v>
      </c>
      <c r="B9" t="s">
        <v>36</v>
      </c>
      <c r="C9" t="s">
        <v>38</v>
      </c>
      <c r="D9" s="3">
        <v>40000</v>
      </c>
      <c r="E9">
        <v>1</v>
      </c>
      <c r="F9" t="s">
        <v>13</v>
      </c>
      <c r="G9" t="s">
        <v>14</v>
      </c>
      <c r="H9" t="s">
        <v>15</v>
      </c>
      <c r="I9">
        <v>0</v>
      </c>
      <c r="J9" t="s">
        <v>16</v>
      </c>
      <c r="K9" t="s">
        <v>17</v>
      </c>
      <c r="L9">
        <v>43</v>
      </c>
      <c r="M9" t="str">
        <f t="shared" si="0"/>
        <v>Adult</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Adult</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Adult</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Adult</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Adult</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Adult</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Young Adult</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Adult</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Adult</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Adult</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Adult</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Young Adult</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Adult</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Adult</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Young Adult</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Young Adult</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Adult</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Young Adult</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Elderly</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Young Adult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Adult</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Adult</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Young Adult</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Elderly</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Young Adult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Young Adult</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Adult</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Elderly</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Adult</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Adult</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Young Adult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Young Adult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Adult</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Adult</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Elderly</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Adult</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Adult</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Adult</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Elderly</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Adult</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Adult</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Adult</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Adult</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Young Adult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Young Adult</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Elderly</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Adult</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Adult</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Adult</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Adult</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Elderly</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Adult</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Adult</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Adult</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Young Adult</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Adult</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Adult</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Adult</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IF(L67&lt;=12, "Child", IF(L67&lt;=19, "Teen", IF(L67&lt;=35, "Young Adult", IF(L67&lt;=60, "Adult", "Elderly"))))</f>
        <v>Elderly</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Adult</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Young Adult</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Adult</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Young Adult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Adult</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Young Adult</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Adult</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Adult</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Elderly</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Young Adult</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Young Adult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Young Adult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Adult</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Elderly</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Adult</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Adult</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Adult</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Young Adult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Adult</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Young Adult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Adult</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Adult</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Young Adult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Adult</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Young Adult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Young Adult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Adult</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Young Adult</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Adult</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Elderly</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Adult</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Adult</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Young Adult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Adult</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Young Adult</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Adult</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Adult</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Adult</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Adult</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Young Adult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Adult</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Adult</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Adult</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Adult</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Adult</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Adult</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Young Adult</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Adult</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Young Adult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Young Adult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Adult</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Adult</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Elderly</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Young Adult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Elderly</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Adult</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Young Adult</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Adult</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Adult</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Adult</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Young Adult</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Adult</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Adult</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IF(L131&lt;=12, "Child", IF(L131&lt;=19, "Teen", IF(L131&lt;=35, "Young Adult", IF(L131&lt;=60, "Adult", "Elderly"))))</f>
        <v>Adult</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Adult</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Adult</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Adult</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Elderly</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Adult</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Adult</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Young Adult</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Adult</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Adult</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Adult</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Adult</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Young Adult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Adult</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Young Adult</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Adult</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Young Adult</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Adult</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Adult</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Adult</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Young Adult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Adult</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Adult</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Young Adult</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Adult</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Adult</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Adult</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Adult</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Adult</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Adult</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Adult</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Adult</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Adult</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Adult</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Adult</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Young Adult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Young Adult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Adult</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Young Adult</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Adult</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Adult</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Elderly</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Elderly</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Young Adult</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Young Adult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Adult</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Adult</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Young Adult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Adult</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Adult</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Adult</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Adult</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Adult</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Adult</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Elderly</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Adult</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Adult</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Adult</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Adult</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Young Adult</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Adult</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Adult</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Adult</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Elderly</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IF(L195&lt;=12, "Child", IF(L195&lt;=19, "Teen", IF(L195&lt;=35, "Young Adult", IF(L195&lt;=60, "Adult", "Elderly"))))</f>
        <v>Adult</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Young Adult</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Young Adult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Adult</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Elderly</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Adult</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Young Adult</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Young Adult</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Young Adult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Young Adult</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Adult</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Adult</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Adult</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Elderly</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Young Adult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Adult</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Adult</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Adult</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Adult</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Young Adult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Young Adult</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Elderly</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Adult</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Adult</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Young Adult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Adult</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Young Adult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Adult</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Young Adult</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Adult</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Adult</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Elderly</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Young Adult</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Adult</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Adult</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Adult</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Adult</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Adult</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Adult</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Adult</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Young Adult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Young Adult</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Elderly</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Adult</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Young Adult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Adult</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Young Adult</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Adult</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Young Adult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Adult</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Young Adult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Adult</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Adult</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Adult</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Young Adult</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Elderly</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Adult</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Elderly</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Adult</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Young Adult</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Adult</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Adult</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Adult</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Adult</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IF(L259&lt;=12, "Child", IF(L259&lt;=19, "Teen", IF(L259&lt;=35, "Young Adult", IF(L259&lt;=60, "Adult", "Elderly"))))</f>
        <v>Adult</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Adult</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Adult</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Adult</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Young Adult</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Adult</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Adult</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Adult</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Adult</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Young Adult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Adult</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Adult</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Adult</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Adult</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Young Adult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Adult</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Young Adult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Adult</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Adult</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Adult</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Adult</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Young Adult</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Adult</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Adult</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Adult</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Young Adult</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Adult</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Adult</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Adult</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Adult</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Adult</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Adult</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Adult</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Adult</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Adult</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Adult</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Adult</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Adult</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Young Adult</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Adult</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Adult</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Adult</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Elderly</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Elderly</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Young Adult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Elderly</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Adult</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Adult</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Adult</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Adult</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Elderly</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Young Adult</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Adult</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Adult</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Adult</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Adult</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Adult</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Adult</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Adult</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Elderly</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Young Adult</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Adult</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Adult</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Adult</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IF(L323&lt;=12, "Child", IF(L323&lt;=19, "Teen", IF(L323&lt;=35, "Young Adult", IF(L323&lt;=60, "Adult", "Elderly"))))</f>
        <v>Adult</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Adult</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Adult</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Adult</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Adult</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Young Adult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Adult</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Adult</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Adult</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Young Adult</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Young Adult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Young Adult</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Adult</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Adult</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Adult</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Young Adult</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Young Adult</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Adult</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Elderly</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Young Adult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Young Adult</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Young Adult</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Young Adult</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Young Adult</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Adult</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Adult</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Adult</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Adult</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Young Adult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Young Adult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Adult</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Adult</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Adult</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Adult</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Young Adult</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Adult</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Young Adult</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Adult</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Young Adult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Adult</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Young Adult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Young Adult</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Elderly</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Adult</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Adult</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Adult</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Adult</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Adult</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Adult</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Adult</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Adult</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Adult</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Young Adult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Adult</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Elderly</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Elderly</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Adult</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Adult</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Adult</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Young Adult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Elderly</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Adult</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Adult</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Young Adult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IF(L387&lt;=12, "Child", IF(L387&lt;=19, "Teen", IF(L387&lt;=35, "Young Adult", IF(L387&lt;=60, "Adult", "Elderly"))))</f>
        <v>Adult</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Young Adult</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Young Adult</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Elderly</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Adult</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Adult</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Adult</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Adult</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Young Adult</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Adult</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Adult</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Adult</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Adult</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Adult</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Adult</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Adult</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Elderly</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Adult</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Adult</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Adult</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Adult</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Adult</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Adult</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Young Adult</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Adult</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Adult</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Adult</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Young Adult</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Elderly</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Young Adult</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Adult</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Adult</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Elderly</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Adult</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Adult</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Adult</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Adult</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Young Adult</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Young Adult</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Adult</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Elderly</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Young Adult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Adult</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Adult</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Young Adult</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Adult</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Young Adult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Young Adult</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Young Adult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Adult</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Elderly</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Adult</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Young Adult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Adult</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Adult</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Young Adult</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Adult</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Adult</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Adult</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Young Adult</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Young Adult</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Adult</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Young Adult</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Adult</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IF(L451&lt;=12, "Child", IF(L451&lt;=19, "Teen", IF(L451&lt;=35, "Young Adult", IF(L451&lt;=60, "Adult", "Elderly"))))</f>
        <v>Adult</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Adult</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Adult</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Elderly</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Adult</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Young Adult</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Adult</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Adult</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Elderly</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Young Adult</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Young Adult</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Young Adult</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Adult</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Adult</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Adult</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Adult</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Elderly</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Adult</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Adult</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Adult</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Elderly</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Young Adult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Adult</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Adult</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Adult</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Adult</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Adult</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Adult</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Adult</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Young Adult</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Young Adult</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Adult</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Young Adult</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Adult</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Elderly</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Young Adult</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Adult</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Adult</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Adult</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Young Adult</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Young Adult</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Adult</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Adult</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Young Adult</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Adult</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Adult</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Adult</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Adult</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Young Adult</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Adult</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Young Adult</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Adult</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Young Adult</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Young Adult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Adult</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Adult</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Adult</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Adult</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Adult</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Young Adult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Adult</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Adult</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Elderly</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Adult</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IF(L515&lt;=12, "Child", IF(L515&lt;=19, "Teen", IF(L515&lt;=35, "Young Adult", IF(L515&lt;=60, "Adult", "Elderly"))))</f>
        <v>Elderly</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Adult</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Adult</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Adult</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Adult</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Young Adult</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Elderly</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Adult</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Elderly</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Adult</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Adult</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Elderly</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Adult</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Adult</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Adult</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Young Adult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Adult</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Young Adult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Young Adult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Adult</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Elderly</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Elderly</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Adult</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Adult</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Adult</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Adult</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Adult</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Adult</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Young Adult</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Young Adult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Adult</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Adult</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Young Adult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Adult</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Adult</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Adult</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Adult</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Adult</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Elderly</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Adult</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Elderly</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Adult</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Adult</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Adult</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Young Adult</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Adult</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Adult</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Adult</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Adult</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Young Adult</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Young Adult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Young Adult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Adult</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Elderly</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Adult</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Adult</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Elderly</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Adult</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Adult</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Young Adult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Elderly</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Young Adult</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Adult</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Young Adult</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IF(L579&lt;=12, "Child", IF(L579&lt;=19, "Teen", IF(L579&lt;=35, "Young Adult", IF(L579&lt;=60, "Adult", "Elderly"))))</f>
        <v>Adult</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Adult</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Young Adult</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Elderly</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Young Adult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Adult</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Elderly</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Adult</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Adult</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Adult</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Adult</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Adult</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Adult</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Young Adult</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Elderly</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Adult</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Adult</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Elderly</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Elderly</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Adult</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Adult</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Adult</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Adult</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Adult</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Adult</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Adult</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Young Adult</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Young Adult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Adult</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Adult</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Adult</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Adult</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Adult</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Adult</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Young Adult</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Young Adult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Adult</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Adult</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Adult</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Adult</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Adult</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Adult</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Young Adult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Adult</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Adult</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Adult</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Adult</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Young Adult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Elderly</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Young Adult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Elderly</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Adult</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Young Adult</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Young Adult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Adult</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Adult</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Adult</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Elderly</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Adult</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Adult</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Young Adult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Elderly</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Elderly</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Adult</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IF(L643&lt;=12, "Child", IF(L643&lt;=19, "Teen", IF(L643&lt;=35, "Young Adult", IF(L643&lt;=60, "Adult", "Elderly"))))</f>
        <v>Elderly</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Adult</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Young Adult</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Adult</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Adult</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Adult</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Young Adult</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Adult</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Adult</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Elderly</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Young Adult</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Adult</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Young Adult</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Young Adult</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Young Adult</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Adult</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Adult</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Adult</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Elderly</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Adult</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Young Adult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Adult</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Adult</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Adult</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Adult</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Adult</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Elderly</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Adult</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Adult</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Adult</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Adult</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Young Adult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Young Adult</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Adult</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Adult</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Adult</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Adult</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Elderly</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Adult</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Young Adult</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Adult</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Adult</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Adult</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Adult</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Adult</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Adult</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Young Adult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Young Adult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Young Adult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Adult</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Young Adult</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Adult</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Adult</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Adult</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Adult</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Young Adult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Young Adult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Adult</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Adult</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Adult</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Young Adult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Adult</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Young Adult</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Adult</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IF(L707&lt;=12, "Child", IF(L707&lt;=19, "Teen", IF(L707&lt;=35, "Young Adult", IF(L707&lt;=60, "Adult", "Elderly"))))</f>
        <v>Adult</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Young Adult</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Adult</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Adult</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Adult</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Young Adult</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Adult</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Adult</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Adult</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Young Adult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Adult</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Adult</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Adult</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Adult</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Adult</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Adult</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Adult</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Adult</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Adult</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Adult</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Adult</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Adult</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Adult</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Young Adult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Adult</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Adult</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Adult</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Adult</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Adult</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Adult</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Young Adult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Young Adult</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Adult</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Adult</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Adult</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Young Adult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Adult</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Young Adult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Adult</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Adult</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Adult</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Adult</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Adult</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Elderly</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Adult</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Adult</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Adult</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Young Adult</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Young Adult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Adult</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Adult</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Adult</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Adult</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Adult</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Adult</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Adult</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Adult</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Adult</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Young Adult</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Young Adult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Young Adult</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Adult</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Adult</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Adult</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IF(L771&lt;=12, "Child", IF(L771&lt;=19, "Teen", IF(L771&lt;=35, "Young Adult", IF(L771&lt;=60, "Adult", "Elderly"))))</f>
        <v>Adult</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Adult</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Adult</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Adult</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Young Adult</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Adult</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Adult</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Adult</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Young Adult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Adult</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Adult</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Adult</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Adult</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Adult</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Adult</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Adult</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Young Adult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Young Adult</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Adult</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Adult</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Adult</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Adult</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Young Adult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Adult</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Adult</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Elderly</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Adult</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Adult</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Young Adult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Young Adult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Young Adult</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Adult</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Elderly</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Young Adult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Young Adult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Young Adult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Young Adult</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Adult</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Young Adult</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Adult</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Elderly</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Adult</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Young Adult</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Elderly</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Adult</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Elderly</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Young Adult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Adult</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Adult</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Young Adult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Young Adult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Adult</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Young Adult</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Young Adult</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Adult</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Adult</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Adult</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Adult</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Adult</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Young Adult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Elderly</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Adult</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Adult</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Adult</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IF(L835&lt;=12, "Child", IF(L835&lt;=19, "Teen", IF(L835&lt;=35, "Young Adult", IF(L835&lt;=60, "Adult", "Elderly"))))</f>
        <v>Adult</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Adult</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Adult</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Young Adult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Young Adult</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Adult</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Adult</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Adult</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Elderly</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Adult</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Adult</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Adult</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Adult</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Adult</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Young Adult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Adult</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Adult</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Elderly</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Young Adult</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Adult</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Young Adult</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Young Adult</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Young Adult</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Young Adult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Adult</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Adult</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Adult</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Young Adult</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Adult</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Young Adult</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Adult</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Young Adult</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Adult</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Adult</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Adult</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Adult</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Adult</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Adult</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Adult</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Adult</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Adult</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Adult</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Adult</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Young Adult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Elderly</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Elderly</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Adult</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Adult</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Elderly</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Young Adult</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Adult</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Elderly</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Adult</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Young Adult</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Young Adult</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Adult</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Young Adult</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Adult</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Elderly</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Adult</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Young Adult</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Young Adult</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Elderly</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Young Adult</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IF(L899&lt;=12, "Child", IF(L899&lt;=19, "Teen", IF(L899&lt;=35, "Young Adult", IF(L899&lt;=60, "Adult", "Elderly"))))</f>
        <v>Young Adult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Adult</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Adult</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Adult</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Adult</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Adult</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Elderly</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Adult</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Adult</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Young Adult</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Elderly</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Adult</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Adult</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Adult</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Elderly</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Young Adult</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Adult</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Adult</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Elderly</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Young Adult</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Adult</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Young Adult</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Elderly</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Adult</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Adult</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Adult</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Adult</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Adult</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Young Adult</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Adult</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Adult</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Adult</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Adult</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Adult</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Adult</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Young Adult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Young Adult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Adult</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Adult</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Adult</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Adult</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Young Adult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Adult</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Young Adult</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Young Adult</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Adult</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Adult</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Young Adult</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Adult</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Elderly</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Adult</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Adult</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Adult</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Young Adult</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Adult</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Adult</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Young Adult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Adult</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Adult</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Young Adult</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Young Adult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Adult</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Adult</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Adult</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IF(L963&lt;=12, "Child", IF(L963&lt;=19, "Teen", IF(L963&lt;=35, "Young Adult", IF(L963&lt;=60, "Adult", "Elderly"))))</f>
        <v>Elderly</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Adult</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Elderly</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Adult</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Adult</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Young Adult</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Adult</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Young Adult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Adult</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Young Adult</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Adult</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Adult</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Adult</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Adult</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Young Adult</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Elderly</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Elderly</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Adult</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Young Adult</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Adult</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Adult</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Adult</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Adult</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Adult</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Adult</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Adult</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Elderly</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Elderly</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Adult</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Young Adult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Adult</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Adult</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Adult</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Adult</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Adult</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Young Adult</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Adult</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Adult</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Adult</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96A30-297B-45FF-9266-566B99E1C7A9}">
  <dimension ref="A1:D107"/>
  <sheetViews>
    <sheetView topLeftCell="A37" workbookViewId="0">
      <selection activeCell="E34" sqref="E34"/>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6">
        <v>54874.759152215796</v>
      </c>
      <c r="C5" s="6">
        <v>57962.577962577961</v>
      </c>
      <c r="D5" s="6">
        <v>56360</v>
      </c>
    </row>
    <row r="19" spans="1:4" x14ac:dyDescent="0.35">
      <c r="A19" s="4" t="s">
        <v>45</v>
      </c>
      <c r="B19" s="4" t="s">
        <v>44</v>
      </c>
    </row>
    <row r="20" spans="1:4" x14ac:dyDescent="0.35">
      <c r="A20" s="4" t="s">
        <v>41</v>
      </c>
      <c r="B20" t="s">
        <v>18</v>
      </c>
      <c r="C20" t="s">
        <v>15</v>
      </c>
      <c r="D20" t="s">
        <v>42</v>
      </c>
    </row>
    <row r="21" spans="1:4" x14ac:dyDescent="0.35">
      <c r="A21" s="5" t="s">
        <v>16</v>
      </c>
      <c r="B21" s="8">
        <v>166</v>
      </c>
      <c r="C21" s="8">
        <v>200</v>
      </c>
      <c r="D21" s="8">
        <v>366</v>
      </c>
    </row>
    <row r="22" spans="1:4" x14ac:dyDescent="0.35">
      <c r="A22" s="5" t="s">
        <v>26</v>
      </c>
      <c r="B22" s="8">
        <v>92</v>
      </c>
      <c r="C22" s="8">
        <v>77</v>
      </c>
      <c r="D22" s="8">
        <v>169</v>
      </c>
    </row>
    <row r="23" spans="1:4" x14ac:dyDescent="0.35">
      <c r="A23" s="5" t="s">
        <v>22</v>
      </c>
      <c r="B23" s="8">
        <v>67</v>
      </c>
      <c r="C23" s="8">
        <v>95</v>
      </c>
      <c r="D23" s="8">
        <v>162</v>
      </c>
    </row>
    <row r="24" spans="1:4" x14ac:dyDescent="0.35">
      <c r="A24" s="5" t="s">
        <v>23</v>
      </c>
      <c r="B24" s="8">
        <v>116</v>
      </c>
      <c r="C24" s="8">
        <v>76</v>
      </c>
      <c r="D24" s="8">
        <v>192</v>
      </c>
    </row>
    <row r="25" spans="1:4" x14ac:dyDescent="0.35">
      <c r="A25" s="5" t="s">
        <v>46</v>
      </c>
      <c r="B25" s="8">
        <v>78</v>
      </c>
      <c r="C25" s="8">
        <v>33</v>
      </c>
      <c r="D25" s="8">
        <v>111</v>
      </c>
    </row>
    <row r="26" spans="1:4" x14ac:dyDescent="0.35">
      <c r="A26" s="5" t="s">
        <v>42</v>
      </c>
      <c r="B26" s="8">
        <v>519</v>
      </c>
      <c r="C26" s="8">
        <v>481</v>
      </c>
      <c r="D26" s="8">
        <v>1000</v>
      </c>
    </row>
    <row r="36" spans="1:4" x14ac:dyDescent="0.35">
      <c r="A36" s="4" t="s">
        <v>45</v>
      </c>
      <c r="B36" s="4" t="s">
        <v>44</v>
      </c>
    </row>
    <row r="37" spans="1:4" x14ac:dyDescent="0.35">
      <c r="A37" s="4" t="s">
        <v>41</v>
      </c>
      <c r="B37" t="s">
        <v>18</v>
      </c>
      <c r="C37" t="s">
        <v>15</v>
      </c>
      <c r="D37" t="s">
        <v>42</v>
      </c>
    </row>
    <row r="38" spans="1:4" x14ac:dyDescent="0.35">
      <c r="A38" s="5" t="s">
        <v>47</v>
      </c>
      <c r="B38" s="8">
        <v>308</v>
      </c>
      <c r="C38" s="8">
        <v>336</v>
      </c>
      <c r="D38" s="8">
        <v>644</v>
      </c>
    </row>
    <row r="39" spans="1:4" x14ac:dyDescent="0.35">
      <c r="A39" s="5" t="s">
        <v>48</v>
      </c>
      <c r="B39" s="8">
        <v>70</v>
      </c>
      <c r="C39" s="8">
        <v>30</v>
      </c>
      <c r="D39" s="8">
        <v>100</v>
      </c>
    </row>
    <row r="40" spans="1:4" x14ac:dyDescent="0.35">
      <c r="A40" s="5" t="s">
        <v>49</v>
      </c>
      <c r="B40" s="8">
        <v>141</v>
      </c>
      <c r="C40" s="8">
        <v>115</v>
      </c>
      <c r="D40" s="8">
        <v>256</v>
      </c>
    </row>
    <row r="41" spans="1:4" x14ac:dyDescent="0.35">
      <c r="A41" s="5" t="s">
        <v>42</v>
      </c>
      <c r="B41" s="8">
        <v>519</v>
      </c>
      <c r="C41" s="8">
        <v>481</v>
      </c>
      <c r="D41" s="8">
        <v>1000</v>
      </c>
    </row>
    <row r="52" spans="1:4" x14ac:dyDescent="0.35">
      <c r="A52" s="4" t="s">
        <v>45</v>
      </c>
      <c r="B52" s="4" t="s">
        <v>44</v>
      </c>
    </row>
    <row r="53" spans="1:4" x14ac:dyDescent="0.35">
      <c r="A53" s="4" t="s">
        <v>41</v>
      </c>
      <c r="B53" t="s">
        <v>18</v>
      </c>
      <c r="C53" t="s">
        <v>15</v>
      </c>
      <c r="D53" t="s">
        <v>42</v>
      </c>
    </row>
    <row r="54" spans="1:4" x14ac:dyDescent="0.35">
      <c r="A54" s="5">
        <v>25</v>
      </c>
      <c r="B54" s="8">
        <v>2</v>
      </c>
      <c r="C54" s="8">
        <v>4</v>
      </c>
      <c r="D54" s="8">
        <v>6</v>
      </c>
    </row>
    <row r="55" spans="1:4" x14ac:dyDescent="0.35">
      <c r="A55" s="5">
        <v>26</v>
      </c>
      <c r="B55" s="8">
        <v>8</v>
      </c>
      <c r="C55" s="8">
        <v>8</v>
      </c>
      <c r="D55" s="8">
        <v>16</v>
      </c>
    </row>
    <row r="56" spans="1:4" x14ac:dyDescent="0.35">
      <c r="A56" s="5">
        <v>27</v>
      </c>
      <c r="B56" s="8">
        <v>15</v>
      </c>
      <c r="C56" s="8">
        <v>8</v>
      </c>
      <c r="D56" s="8">
        <v>23</v>
      </c>
    </row>
    <row r="57" spans="1:4" x14ac:dyDescent="0.35">
      <c r="A57" s="5">
        <v>28</v>
      </c>
      <c r="B57" s="8">
        <v>12</v>
      </c>
      <c r="C57" s="8">
        <v>10</v>
      </c>
      <c r="D57" s="8">
        <v>22</v>
      </c>
    </row>
    <row r="58" spans="1:4" x14ac:dyDescent="0.35">
      <c r="A58" s="5">
        <v>29</v>
      </c>
      <c r="B58" s="8">
        <v>11</v>
      </c>
      <c r="C58" s="8">
        <v>5</v>
      </c>
      <c r="D58" s="8">
        <v>16</v>
      </c>
    </row>
    <row r="59" spans="1:4" x14ac:dyDescent="0.35">
      <c r="A59" s="5">
        <v>30</v>
      </c>
      <c r="B59" s="8">
        <v>23</v>
      </c>
      <c r="C59" s="8">
        <v>4</v>
      </c>
      <c r="D59" s="8">
        <v>27</v>
      </c>
    </row>
    <row r="60" spans="1:4" x14ac:dyDescent="0.35">
      <c r="A60" s="5">
        <v>31</v>
      </c>
      <c r="B60" s="8">
        <v>17</v>
      </c>
      <c r="C60" s="8">
        <v>8</v>
      </c>
      <c r="D60" s="8">
        <v>25</v>
      </c>
    </row>
    <row r="61" spans="1:4" x14ac:dyDescent="0.35">
      <c r="A61" s="5">
        <v>32</v>
      </c>
      <c r="B61" s="8">
        <v>19</v>
      </c>
      <c r="C61" s="8">
        <v>14</v>
      </c>
      <c r="D61" s="8">
        <v>33</v>
      </c>
    </row>
    <row r="62" spans="1:4" x14ac:dyDescent="0.35">
      <c r="A62" s="5">
        <v>33</v>
      </c>
      <c r="B62" s="8">
        <v>8</v>
      </c>
      <c r="C62" s="8">
        <v>13</v>
      </c>
      <c r="D62" s="8">
        <v>21</v>
      </c>
    </row>
    <row r="63" spans="1:4" x14ac:dyDescent="0.35">
      <c r="A63" s="5">
        <v>34</v>
      </c>
      <c r="B63" s="8">
        <v>12</v>
      </c>
      <c r="C63" s="8">
        <v>19</v>
      </c>
      <c r="D63" s="8">
        <v>31</v>
      </c>
    </row>
    <row r="64" spans="1:4" x14ac:dyDescent="0.35">
      <c r="A64" s="5">
        <v>35</v>
      </c>
      <c r="B64" s="8">
        <v>14</v>
      </c>
      <c r="C64" s="8">
        <v>22</v>
      </c>
      <c r="D64" s="8">
        <v>36</v>
      </c>
    </row>
    <row r="65" spans="1:4" x14ac:dyDescent="0.35">
      <c r="A65" s="5">
        <v>36</v>
      </c>
      <c r="B65" s="8">
        <v>7</v>
      </c>
      <c r="C65" s="8">
        <v>30</v>
      </c>
      <c r="D65" s="8">
        <v>37</v>
      </c>
    </row>
    <row r="66" spans="1:4" x14ac:dyDescent="0.35">
      <c r="A66" s="5">
        <v>37</v>
      </c>
      <c r="B66" s="8">
        <v>4</v>
      </c>
      <c r="C66" s="8">
        <v>28</v>
      </c>
      <c r="D66" s="8">
        <v>32</v>
      </c>
    </row>
    <row r="67" spans="1:4" x14ac:dyDescent="0.35">
      <c r="A67" s="5">
        <v>38</v>
      </c>
      <c r="B67" s="8">
        <v>8</v>
      </c>
      <c r="C67" s="8">
        <v>29</v>
      </c>
      <c r="D67" s="8">
        <v>37</v>
      </c>
    </row>
    <row r="68" spans="1:4" x14ac:dyDescent="0.35">
      <c r="A68" s="5">
        <v>39</v>
      </c>
      <c r="B68" s="8">
        <v>10</v>
      </c>
      <c r="C68" s="8">
        <v>12</v>
      </c>
      <c r="D68" s="8">
        <v>22</v>
      </c>
    </row>
    <row r="69" spans="1:4" x14ac:dyDescent="0.35">
      <c r="A69" s="5">
        <v>40</v>
      </c>
      <c r="B69" s="8">
        <v>24</v>
      </c>
      <c r="C69" s="8">
        <v>18</v>
      </c>
      <c r="D69" s="8">
        <v>42</v>
      </c>
    </row>
    <row r="70" spans="1:4" x14ac:dyDescent="0.35">
      <c r="A70" s="5">
        <v>41</v>
      </c>
      <c r="B70" s="8">
        <v>13</v>
      </c>
      <c r="C70" s="8">
        <v>15</v>
      </c>
      <c r="D70" s="8">
        <v>28</v>
      </c>
    </row>
    <row r="71" spans="1:4" x14ac:dyDescent="0.35">
      <c r="A71" s="5">
        <v>42</v>
      </c>
      <c r="B71" s="8">
        <v>22</v>
      </c>
      <c r="C71" s="8">
        <v>12</v>
      </c>
      <c r="D71" s="8">
        <v>34</v>
      </c>
    </row>
    <row r="72" spans="1:4" x14ac:dyDescent="0.35">
      <c r="A72" s="5">
        <v>43</v>
      </c>
      <c r="B72" s="8">
        <v>17</v>
      </c>
      <c r="C72" s="8">
        <v>19</v>
      </c>
      <c r="D72" s="8">
        <v>36</v>
      </c>
    </row>
    <row r="73" spans="1:4" x14ac:dyDescent="0.35">
      <c r="A73" s="5">
        <v>44</v>
      </c>
      <c r="B73" s="8">
        <v>15</v>
      </c>
      <c r="C73" s="8">
        <v>12</v>
      </c>
      <c r="D73" s="8">
        <v>27</v>
      </c>
    </row>
    <row r="74" spans="1:4" x14ac:dyDescent="0.35">
      <c r="A74" s="5">
        <v>45</v>
      </c>
      <c r="B74" s="8">
        <v>18</v>
      </c>
      <c r="C74" s="8">
        <v>13</v>
      </c>
      <c r="D74" s="8">
        <v>31</v>
      </c>
    </row>
    <row r="75" spans="1:4" x14ac:dyDescent="0.35">
      <c r="A75" s="5">
        <v>46</v>
      </c>
      <c r="B75" s="8">
        <v>12</v>
      </c>
      <c r="C75" s="8">
        <v>15</v>
      </c>
      <c r="D75" s="8">
        <v>27</v>
      </c>
    </row>
    <row r="76" spans="1:4" x14ac:dyDescent="0.35">
      <c r="A76" s="5">
        <v>47</v>
      </c>
      <c r="B76" s="8">
        <v>19</v>
      </c>
      <c r="C76" s="8">
        <v>20</v>
      </c>
      <c r="D76" s="8">
        <v>39</v>
      </c>
    </row>
    <row r="77" spans="1:4" x14ac:dyDescent="0.35">
      <c r="A77" s="5">
        <v>48</v>
      </c>
      <c r="B77" s="8">
        <v>16</v>
      </c>
      <c r="C77" s="8">
        <v>13</v>
      </c>
      <c r="D77" s="8">
        <v>29</v>
      </c>
    </row>
    <row r="78" spans="1:4" x14ac:dyDescent="0.35">
      <c r="A78" s="5">
        <v>49</v>
      </c>
      <c r="B78" s="8">
        <v>15</v>
      </c>
      <c r="C78" s="8">
        <v>8</v>
      </c>
      <c r="D78" s="8">
        <v>23</v>
      </c>
    </row>
    <row r="79" spans="1:4" x14ac:dyDescent="0.35">
      <c r="A79" s="5">
        <v>50</v>
      </c>
      <c r="B79" s="8">
        <v>12</v>
      </c>
      <c r="C79" s="8">
        <v>12</v>
      </c>
      <c r="D79" s="8">
        <v>24</v>
      </c>
    </row>
    <row r="80" spans="1:4" x14ac:dyDescent="0.35">
      <c r="A80" s="5">
        <v>51</v>
      </c>
      <c r="B80" s="8">
        <v>10</v>
      </c>
      <c r="C80" s="8">
        <v>12</v>
      </c>
      <c r="D80" s="8">
        <v>22</v>
      </c>
    </row>
    <row r="81" spans="1:4" x14ac:dyDescent="0.35">
      <c r="A81" s="5">
        <v>52</v>
      </c>
      <c r="B81" s="8">
        <v>10</v>
      </c>
      <c r="C81" s="8">
        <v>15</v>
      </c>
      <c r="D81" s="8">
        <v>25</v>
      </c>
    </row>
    <row r="82" spans="1:4" x14ac:dyDescent="0.35">
      <c r="A82" s="5">
        <v>53</v>
      </c>
      <c r="B82" s="8">
        <v>11</v>
      </c>
      <c r="C82" s="8">
        <v>13</v>
      </c>
      <c r="D82" s="8">
        <v>24</v>
      </c>
    </row>
    <row r="83" spans="1:4" x14ac:dyDescent="0.35">
      <c r="A83" s="5">
        <v>54</v>
      </c>
      <c r="B83" s="8">
        <v>5</v>
      </c>
      <c r="C83" s="8">
        <v>11</v>
      </c>
      <c r="D83" s="8">
        <v>16</v>
      </c>
    </row>
    <row r="84" spans="1:4" x14ac:dyDescent="0.35">
      <c r="A84" s="5">
        <v>55</v>
      </c>
      <c r="B84" s="8">
        <v>13</v>
      </c>
      <c r="C84" s="8">
        <v>5</v>
      </c>
      <c r="D84" s="8">
        <v>18</v>
      </c>
    </row>
    <row r="85" spans="1:4" x14ac:dyDescent="0.35">
      <c r="A85" s="5">
        <v>56</v>
      </c>
      <c r="B85" s="8">
        <v>13</v>
      </c>
      <c r="C85" s="8">
        <v>3</v>
      </c>
      <c r="D85" s="8">
        <v>16</v>
      </c>
    </row>
    <row r="86" spans="1:4" x14ac:dyDescent="0.35">
      <c r="A86" s="5">
        <v>57</v>
      </c>
      <c r="B86" s="8">
        <v>4</v>
      </c>
      <c r="C86" s="8">
        <v>4</v>
      </c>
      <c r="D86" s="8">
        <v>8</v>
      </c>
    </row>
    <row r="87" spans="1:4" x14ac:dyDescent="0.35">
      <c r="A87" s="5">
        <v>58</v>
      </c>
      <c r="B87" s="8">
        <v>8</v>
      </c>
      <c r="C87" s="8">
        <v>4</v>
      </c>
      <c r="D87" s="8">
        <v>12</v>
      </c>
    </row>
    <row r="88" spans="1:4" x14ac:dyDescent="0.35">
      <c r="A88" s="5">
        <v>59</v>
      </c>
      <c r="B88" s="8">
        <v>14</v>
      </c>
      <c r="C88" s="8">
        <v>6</v>
      </c>
      <c r="D88" s="8">
        <v>20</v>
      </c>
    </row>
    <row r="89" spans="1:4" x14ac:dyDescent="0.35">
      <c r="A89" s="5">
        <v>60</v>
      </c>
      <c r="B89" s="8">
        <v>8</v>
      </c>
      <c r="C89" s="8">
        <v>7</v>
      </c>
      <c r="D89" s="8">
        <v>15</v>
      </c>
    </row>
    <row r="90" spans="1:4" x14ac:dyDescent="0.35">
      <c r="A90" s="5">
        <v>61</v>
      </c>
      <c r="B90" s="8">
        <v>5</v>
      </c>
      <c r="C90" s="8">
        <v>4</v>
      </c>
      <c r="D90" s="8">
        <v>9</v>
      </c>
    </row>
    <row r="91" spans="1:4" x14ac:dyDescent="0.35">
      <c r="A91" s="5">
        <v>62</v>
      </c>
      <c r="B91" s="8">
        <v>9</v>
      </c>
      <c r="C91" s="8">
        <v>4</v>
      </c>
      <c r="D91" s="8">
        <v>13</v>
      </c>
    </row>
    <row r="92" spans="1:4" x14ac:dyDescent="0.35">
      <c r="A92" s="5">
        <v>63</v>
      </c>
      <c r="B92" s="8">
        <v>7</v>
      </c>
      <c r="C92" s="8">
        <v>2</v>
      </c>
      <c r="D92" s="8">
        <v>9</v>
      </c>
    </row>
    <row r="93" spans="1:4" x14ac:dyDescent="0.35">
      <c r="A93" s="5">
        <v>64</v>
      </c>
      <c r="B93" s="8">
        <v>7</v>
      </c>
      <c r="C93" s="8">
        <v>3</v>
      </c>
      <c r="D93" s="8">
        <v>10</v>
      </c>
    </row>
    <row r="94" spans="1:4" x14ac:dyDescent="0.35">
      <c r="A94" s="5">
        <v>65</v>
      </c>
      <c r="B94" s="8">
        <v>6</v>
      </c>
      <c r="C94" s="8">
        <v>3</v>
      </c>
      <c r="D94" s="8">
        <v>9</v>
      </c>
    </row>
    <row r="95" spans="1:4" x14ac:dyDescent="0.35">
      <c r="A95" s="5">
        <v>66</v>
      </c>
      <c r="B95" s="8">
        <v>8</v>
      </c>
      <c r="C95" s="8">
        <v>6</v>
      </c>
      <c r="D95" s="8">
        <v>14</v>
      </c>
    </row>
    <row r="96" spans="1:4" x14ac:dyDescent="0.35">
      <c r="A96" s="5">
        <v>67</v>
      </c>
      <c r="B96" s="8">
        <v>8</v>
      </c>
      <c r="C96" s="8">
        <v>2</v>
      </c>
      <c r="D96" s="8">
        <v>10</v>
      </c>
    </row>
    <row r="97" spans="1:4" x14ac:dyDescent="0.35">
      <c r="A97" s="5">
        <v>68</v>
      </c>
      <c r="B97" s="8">
        <v>3</v>
      </c>
      <c r="C97" s="8"/>
      <c r="D97" s="8">
        <v>3</v>
      </c>
    </row>
    <row r="98" spans="1:4" x14ac:dyDescent="0.35">
      <c r="A98" s="5">
        <v>69</v>
      </c>
      <c r="B98" s="8">
        <v>8</v>
      </c>
      <c r="C98" s="8"/>
      <c r="D98" s="8">
        <v>8</v>
      </c>
    </row>
    <row r="99" spans="1:4" x14ac:dyDescent="0.35">
      <c r="A99" s="5">
        <v>70</v>
      </c>
      <c r="B99" s="8">
        <v>3</v>
      </c>
      <c r="C99" s="8">
        <v>1</v>
      </c>
      <c r="D99" s="8">
        <v>4</v>
      </c>
    </row>
    <row r="100" spans="1:4" x14ac:dyDescent="0.35">
      <c r="A100" s="5">
        <v>71</v>
      </c>
      <c r="B100" s="8">
        <v>1</v>
      </c>
      <c r="C100" s="8"/>
      <c r="D100" s="8">
        <v>1</v>
      </c>
    </row>
    <row r="101" spans="1:4" x14ac:dyDescent="0.35">
      <c r="A101" s="5">
        <v>72</v>
      </c>
      <c r="B101" s="8"/>
      <c r="C101" s="8">
        <v>1</v>
      </c>
      <c r="D101" s="8">
        <v>1</v>
      </c>
    </row>
    <row r="102" spans="1:4" x14ac:dyDescent="0.35">
      <c r="A102" s="5">
        <v>73</v>
      </c>
      <c r="B102" s="8">
        <v>2</v>
      </c>
      <c r="C102" s="8">
        <v>2</v>
      </c>
      <c r="D102" s="8">
        <v>4</v>
      </c>
    </row>
    <row r="103" spans="1:4" x14ac:dyDescent="0.35">
      <c r="A103" s="5">
        <v>74</v>
      </c>
      <c r="B103" s="8"/>
      <c r="C103" s="8">
        <v>1</v>
      </c>
      <c r="D103" s="8">
        <v>1</v>
      </c>
    </row>
    <row r="104" spans="1:4" x14ac:dyDescent="0.35">
      <c r="A104" s="5">
        <v>78</v>
      </c>
      <c r="B104" s="8">
        <v>1</v>
      </c>
      <c r="C104" s="8">
        <v>1</v>
      </c>
      <c r="D104" s="8">
        <v>2</v>
      </c>
    </row>
    <row r="105" spans="1:4" x14ac:dyDescent="0.35">
      <c r="A105" s="5">
        <v>80</v>
      </c>
      <c r="B105" s="8">
        <v>1</v>
      </c>
      <c r="C105" s="8"/>
      <c r="D105" s="8">
        <v>1</v>
      </c>
    </row>
    <row r="106" spans="1:4" x14ac:dyDescent="0.35">
      <c r="A106" s="5">
        <v>89</v>
      </c>
      <c r="B106" s="8">
        <v>1</v>
      </c>
      <c r="C106" s="8"/>
      <c r="D106" s="8">
        <v>1</v>
      </c>
    </row>
    <row r="107" spans="1:4" x14ac:dyDescent="0.35">
      <c r="A107" s="5" t="s">
        <v>42</v>
      </c>
      <c r="B107" s="8">
        <v>519</v>
      </c>
      <c r="C107" s="8">
        <v>481</v>
      </c>
      <c r="D107" s="8">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1580-726F-4046-B24F-1A441A5FF42A}">
  <dimension ref="A1:N5"/>
  <sheetViews>
    <sheetView showGridLines="0" tabSelected="1" workbookViewId="0">
      <selection activeCell="P7" sqref="P7"/>
    </sheetView>
  </sheetViews>
  <sheetFormatPr defaultRowHeight="14.5" x14ac:dyDescent="0.35"/>
  <sheetData>
    <row r="1" spans="1:14" ht="14.5" customHeight="1" x14ac:dyDescent="0.35">
      <c r="A1" s="7" t="s">
        <v>50</v>
      </c>
      <c r="B1" s="7"/>
      <c r="C1" s="7"/>
      <c r="D1" s="7"/>
      <c r="E1" s="7"/>
      <c r="F1" s="7"/>
      <c r="G1" s="7"/>
      <c r="H1" s="7"/>
      <c r="I1" s="7"/>
      <c r="J1" s="7"/>
      <c r="K1" s="7"/>
      <c r="L1" s="7"/>
      <c r="M1" s="7"/>
      <c r="N1" s="7"/>
    </row>
    <row r="2" spans="1:14" ht="14.5" customHeight="1" x14ac:dyDescent="0.35">
      <c r="A2" s="7"/>
      <c r="B2" s="7"/>
      <c r="C2" s="7"/>
      <c r="D2" s="7"/>
      <c r="E2" s="7"/>
      <c r="F2" s="7"/>
      <c r="G2" s="7"/>
      <c r="H2" s="7"/>
      <c r="I2" s="7"/>
      <c r="J2" s="7"/>
      <c r="K2" s="7"/>
      <c r="L2" s="7"/>
      <c r="M2" s="7"/>
      <c r="N2" s="7"/>
    </row>
    <row r="3" spans="1:14" ht="14.5" customHeight="1" x14ac:dyDescent="0.35">
      <c r="A3" s="7"/>
      <c r="B3" s="7"/>
      <c r="C3" s="7"/>
      <c r="D3" s="7"/>
      <c r="E3" s="7"/>
      <c r="F3" s="7"/>
      <c r="G3" s="7"/>
      <c r="H3" s="7"/>
      <c r="I3" s="7"/>
      <c r="J3" s="7"/>
      <c r="K3" s="7"/>
      <c r="L3" s="7"/>
      <c r="M3" s="7"/>
      <c r="N3" s="7"/>
    </row>
    <row r="4" spans="1:14" ht="14.5" customHeight="1" x14ac:dyDescent="0.35">
      <c r="A4" s="7"/>
      <c r="B4" s="7"/>
      <c r="C4" s="7"/>
      <c r="D4" s="7"/>
      <c r="E4" s="7"/>
      <c r="F4" s="7"/>
      <c r="G4" s="7"/>
      <c r="H4" s="7"/>
      <c r="I4" s="7"/>
      <c r="J4" s="7"/>
      <c r="K4" s="7"/>
      <c r="L4" s="7"/>
      <c r="M4" s="7"/>
      <c r="N4" s="7"/>
    </row>
    <row r="5" spans="1:14" ht="14.5" customHeight="1" x14ac:dyDescent="0.35">
      <c r="A5" s="7"/>
      <c r="B5" s="7"/>
      <c r="C5" s="7"/>
      <c r="D5" s="7"/>
      <c r="E5" s="7"/>
      <c r="F5" s="7"/>
      <c r="G5" s="7"/>
      <c r="H5" s="7"/>
      <c r="I5" s="7"/>
      <c r="J5" s="7"/>
      <c r="K5" s="7"/>
      <c r="L5" s="7"/>
      <c r="M5" s="7"/>
      <c r="N5" s="7"/>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CLINTON IDAHOSA</cp:lastModifiedBy>
  <dcterms:created xsi:type="dcterms:W3CDTF">2022-03-18T02:50:57Z</dcterms:created>
  <dcterms:modified xsi:type="dcterms:W3CDTF">2024-10-27T09:23:41Z</dcterms:modified>
</cp:coreProperties>
</file>